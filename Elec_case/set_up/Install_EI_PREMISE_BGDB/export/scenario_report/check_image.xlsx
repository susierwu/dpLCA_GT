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sierwu/dpLCA_main/Elec_case/Install_EI_PREMISE_BGDB/export/scenario_report/"/>
    </mc:Choice>
  </mc:AlternateContent>
  <xr:revisionPtr revIDLastSave="0" documentId="13_ncr:1_{B8059A5D-50E4-7543-8641-BFF4E9442061}" xr6:coauthVersionLast="47" xr6:coauthVersionMax="47" xr10:uidLastSave="{00000000-0000-0000-0000-000000000000}"/>
  <bookViews>
    <workbookView xWindow="4340" yWindow="980" windowWidth="24460" windowHeight="15740" activeTab="2" xr2:uid="{F70FFD72-A342-6E49-B2D9-552FC3981CAC}"/>
  </bookViews>
  <sheets>
    <sheet name="ssp1" sheetId="1" r:id="rId1"/>
    <sheet name="Sheet1" sheetId="3" r:id="rId2"/>
    <sheet name="ssp5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3" l="1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H17" i="3"/>
  <c r="E17" i="3"/>
  <c r="H16" i="3"/>
  <c r="E16" i="3"/>
  <c r="H15" i="3"/>
  <c r="E15" i="3"/>
  <c r="H14" i="3"/>
  <c r="E14" i="3"/>
  <c r="H13" i="3"/>
  <c r="E13" i="3"/>
  <c r="H12" i="3"/>
  <c r="E12" i="3"/>
  <c r="H11" i="3"/>
  <c r="E11" i="3"/>
  <c r="H10" i="3"/>
  <c r="E10" i="3"/>
  <c r="H9" i="3"/>
  <c r="E9" i="3"/>
  <c r="H8" i="3"/>
  <c r="E8" i="3"/>
  <c r="H7" i="3"/>
  <c r="E7" i="3"/>
  <c r="H6" i="3"/>
  <c r="E6" i="3"/>
  <c r="H5" i="3"/>
  <c r="E5" i="3"/>
  <c r="H4" i="3"/>
  <c r="E4" i="3"/>
  <c r="H3" i="3"/>
  <c r="E3" i="3"/>
  <c r="AA38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C28" i="1"/>
  <c r="D28" i="1"/>
  <c r="AD28" i="1" s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C31" i="1"/>
  <c r="D31" i="1"/>
  <c r="E31" i="1"/>
  <c r="AD31" i="1" s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C32" i="1"/>
  <c r="D32" i="1"/>
  <c r="E32" i="1"/>
  <c r="F32" i="1"/>
  <c r="G32" i="1"/>
  <c r="H32" i="1"/>
  <c r="I32" i="1"/>
  <c r="J32" i="1"/>
  <c r="AD32" i="1" s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C33" i="1"/>
  <c r="D33" i="1"/>
  <c r="E33" i="1"/>
  <c r="F33" i="1"/>
  <c r="G33" i="1"/>
  <c r="C42" i="1" s="1"/>
  <c r="H33" i="1"/>
  <c r="I33" i="1"/>
  <c r="J33" i="1"/>
  <c r="K33" i="1"/>
  <c r="D42" i="1" s="1"/>
  <c r="L33" i="1"/>
  <c r="M33" i="1"/>
  <c r="N33" i="1"/>
  <c r="O33" i="1"/>
  <c r="P33" i="1"/>
  <c r="Q33" i="1"/>
  <c r="E42" i="1" s="1"/>
  <c r="R33" i="1"/>
  <c r="F42" i="1" s="1"/>
  <c r="S33" i="1"/>
  <c r="T33" i="1"/>
  <c r="U33" i="1"/>
  <c r="V33" i="1"/>
  <c r="W33" i="1"/>
  <c r="X33" i="1"/>
  <c r="Y33" i="1"/>
  <c r="G42" i="1" s="1"/>
  <c r="Z33" i="1"/>
  <c r="AA33" i="1"/>
  <c r="AB33" i="1"/>
  <c r="H42" i="1" s="1"/>
  <c r="AC33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B38" i="1"/>
  <c r="AC38" i="1"/>
  <c r="B30" i="1"/>
  <c r="B25" i="1"/>
  <c r="B26" i="1"/>
  <c r="AD26" i="1" s="1"/>
  <c r="B27" i="1"/>
  <c r="B28" i="1"/>
  <c r="B29" i="1"/>
  <c r="B31" i="1"/>
  <c r="B32" i="1"/>
  <c r="B33" i="1"/>
  <c r="B42" i="1" s="1"/>
  <c r="B34" i="1"/>
  <c r="B35" i="1"/>
  <c r="B36" i="1"/>
  <c r="B37" i="1"/>
  <c r="B38" i="1"/>
  <c r="B24" i="1"/>
  <c r="AD30" i="1" l="1"/>
  <c r="AD36" i="1"/>
  <c r="AD33" i="1"/>
  <c r="AD34" i="1"/>
  <c r="AD38" i="1"/>
  <c r="AD24" i="1"/>
  <c r="AD35" i="1"/>
  <c r="AD29" i="1"/>
  <c r="AD37" i="1"/>
  <c r="AD27" i="1"/>
  <c r="AD25" i="1"/>
</calcChain>
</file>

<file path=xl/sharedStrings.xml><?xml version="1.0" encoding="utf-8"?>
<sst xmlns="http://schemas.openxmlformats.org/spreadsheetml/2006/main" count="85" uniqueCount="49">
  <si>
    <t>CAN</t>
  </si>
  <si>
    <t>__cats__</t>
  </si>
  <si>
    <t>Biomass CHP</t>
  </si>
  <si>
    <t>Biomass CHP CCS</t>
  </si>
  <si>
    <t>Biomass IGCC</t>
  </si>
  <si>
    <t>Biomass IGCC CCS</t>
  </si>
  <si>
    <t>Biomass ST</t>
  </si>
  <si>
    <t>Coal CHP</t>
  </si>
  <si>
    <t>Coal IGCC</t>
  </si>
  <si>
    <t>Coal IGCC CCS</t>
  </si>
  <si>
    <t>Coal PC</t>
  </si>
  <si>
    <t>Gas CC</t>
  </si>
  <si>
    <t>Gas CC CCS</t>
  </si>
  <si>
    <t>Gas CHP</t>
  </si>
  <si>
    <t>Gas CHP CCS</t>
  </si>
  <si>
    <t>Gas OC</t>
  </si>
  <si>
    <t>Geothermal</t>
  </si>
  <si>
    <t>Hydro</t>
  </si>
  <si>
    <t>Nuclear</t>
  </si>
  <si>
    <t>Oil CC</t>
  </si>
  <si>
    <t>Oil CC CCS</t>
  </si>
  <si>
    <t>Oil CHP</t>
  </si>
  <si>
    <t>Oil CHP CCS</t>
  </si>
  <si>
    <t>Oil ST</t>
  </si>
  <si>
    <t>Solar CSP</t>
  </si>
  <si>
    <t>Solar PV Centralized</t>
  </si>
  <si>
    <t>Solar PV Residential</t>
  </si>
  <si>
    <t>Storage, Battery</t>
  </si>
  <si>
    <t>Wind Offshore</t>
  </si>
  <si>
    <t>Wind Onshore</t>
  </si>
  <si>
    <t>IMAGE - SSP1-VLLO</t>
  </si>
  <si>
    <t>% calc</t>
  </si>
  <si>
    <t>biomass</t>
  </si>
  <si>
    <t>coal</t>
  </si>
  <si>
    <t>wind</t>
  </si>
  <si>
    <t>solar</t>
  </si>
  <si>
    <t>gas</t>
  </si>
  <si>
    <t>nuclear</t>
  </si>
  <si>
    <t>hydro</t>
  </si>
  <si>
    <t>for year 2050::</t>
  </si>
  <si>
    <t>CAZ</t>
  </si>
  <si>
    <t>SSP5</t>
  </si>
  <si>
    <t>SSP1</t>
  </si>
  <si>
    <t>SSP2</t>
  </si>
  <si>
    <t>remindSSP2-NDC</t>
  </si>
  <si>
    <t>SSP1-SSP5</t>
  </si>
  <si>
    <t>Storage, Hydrogen</t>
  </si>
  <si>
    <t>remindSSP2-SSP5</t>
  </si>
  <si>
    <t>CHN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</si>
</sst>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8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u/>
      <sz val="14"/>
      <name val="Calibri"/>
      <family val="2"/>
    </font>
    <font>
      <b/>
      <sz val="12"/>
      <color theme="1"/>
      <name val="Aptos Narrow"/>
      <scheme val="minor"/>
    </font>
    <font>
      <sz val="12"/>
      <name val="Aptos Narrow"/>
      <scheme val="minor"/>
    </font>
    <font>
      <b/>
      <sz val="12"/>
      <name val="Aptos Narrow"/>
      <scheme val="minor"/>
    </font>
    <font>
      <sz val="12"/>
      <color rgb="FFFF0000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164" fontId="0" fillId="0" borderId="0" xfId="1" applyNumberFormat="1" applyFont="1"/>
    <xf numFmtId="0" fontId="3" fillId="0" borderId="0" xfId="0" applyFont="1"/>
    <xf numFmtId="164" fontId="0" fillId="0" borderId="0" xfId="0" applyNumberFormat="1"/>
    <xf numFmtId="164" fontId="3" fillId="0" borderId="0" xfId="0" applyNumberFormat="1" applyFont="1"/>
    <xf numFmtId="0" fontId="4" fillId="0" borderId="0" xfId="0" applyFont="1"/>
    <xf numFmtId="164" fontId="4" fillId="0" borderId="0" xfId="1" applyNumberFormat="1" applyFont="1"/>
    <xf numFmtId="164" fontId="5" fillId="0" borderId="0" xfId="1" applyNumberFormat="1" applyFont="1"/>
    <xf numFmtId="0" fontId="6" fillId="0" borderId="0" xfId="0" applyFont="1"/>
    <xf numFmtId="0" fontId="7" fillId="0" borderId="0" xfId="0" applyFont="1"/>
    <xf numFmtId="11" fontId="7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934D5-7998-044C-84FA-6B215E6352D0}">
  <dimension ref="A2:AD42"/>
  <sheetViews>
    <sheetView topLeftCell="A18" workbookViewId="0">
      <selection activeCell="B23" sqref="B23:W23"/>
    </sheetView>
  </sheetViews>
  <sheetFormatPr baseColWidth="10" defaultRowHeight="16"/>
  <cols>
    <col min="1" max="1" width="18.83203125" customWidth="1"/>
    <col min="27" max="27" width="14" customWidth="1"/>
  </cols>
  <sheetData>
    <row r="2" spans="1:29" ht="19">
      <c r="A2" s="1" t="s">
        <v>30</v>
      </c>
    </row>
    <row r="3" spans="1:29">
      <c r="A3" t="s">
        <v>0</v>
      </c>
    </row>
    <row r="6" spans="1:29">
      <c r="A6" t="s">
        <v>1</v>
      </c>
      <c r="B6" t="s">
        <v>2</v>
      </c>
      <c r="C6" t="s">
        <v>3</v>
      </c>
      <c r="D6" t="s">
        <v>4</v>
      </c>
      <c r="E6" t="s">
        <v>5</v>
      </c>
      <c r="F6" t="s">
        <v>6</v>
      </c>
      <c r="G6" t="s">
        <v>7</v>
      </c>
      <c r="H6" t="s">
        <v>8</v>
      </c>
      <c r="I6" t="s">
        <v>9</v>
      </c>
      <c r="J6" t="s">
        <v>10</v>
      </c>
      <c r="K6" t="s">
        <v>11</v>
      </c>
      <c r="L6" t="s">
        <v>12</v>
      </c>
      <c r="M6" t="s">
        <v>13</v>
      </c>
      <c r="N6" t="s">
        <v>14</v>
      </c>
      <c r="O6" t="s">
        <v>15</v>
      </c>
      <c r="P6" t="s">
        <v>16</v>
      </c>
      <c r="Q6" t="s">
        <v>17</v>
      </c>
      <c r="R6" t="s">
        <v>18</v>
      </c>
      <c r="S6" t="s">
        <v>19</v>
      </c>
      <c r="T6" t="s">
        <v>20</v>
      </c>
      <c r="U6" t="s">
        <v>21</v>
      </c>
      <c r="V6" t="s">
        <v>22</v>
      </c>
      <c r="W6" t="s">
        <v>23</v>
      </c>
      <c r="X6" t="s">
        <v>24</v>
      </c>
      <c r="Y6" t="s">
        <v>25</v>
      </c>
      <c r="Z6" t="s">
        <v>26</v>
      </c>
      <c r="AA6" t="s">
        <v>27</v>
      </c>
      <c r="AB6" t="s">
        <v>28</v>
      </c>
      <c r="AC6" t="s">
        <v>29</v>
      </c>
    </row>
    <row r="7" spans="1:29">
      <c r="A7">
        <v>2005</v>
      </c>
      <c r="B7">
        <v>1.0296000000000001E-3</v>
      </c>
      <c r="C7">
        <v>0</v>
      </c>
      <c r="D7">
        <v>0</v>
      </c>
      <c r="E7">
        <v>0</v>
      </c>
      <c r="F7">
        <v>2.8828800000000002E-2</v>
      </c>
      <c r="G7">
        <v>0</v>
      </c>
      <c r="H7">
        <v>0</v>
      </c>
      <c r="I7">
        <v>0</v>
      </c>
      <c r="J7">
        <v>0.36210959999999998</v>
      </c>
      <c r="K7">
        <v>0.117105904</v>
      </c>
      <c r="L7">
        <v>0</v>
      </c>
      <c r="M7">
        <v>2.9113199999999999E-2</v>
      </c>
      <c r="N7">
        <v>0</v>
      </c>
      <c r="O7">
        <v>1.182888E-3</v>
      </c>
      <c r="P7">
        <v>0</v>
      </c>
      <c r="Q7">
        <v>1.3029120000000001</v>
      </c>
      <c r="R7">
        <v>0.33134400000000003</v>
      </c>
      <c r="S7">
        <v>0</v>
      </c>
      <c r="T7">
        <v>0</v>
      </c>
      <c r="U7">
        <v>3.6000000000000001E-5</v>
      </c>
      <c r="V7">
        <v>0</v>
      </c>
      <c r="W7">
        <v>5.63004E-2</v>
      </c>
      <c r="X7">
        <v>0</v>
      </c>
      <c r="Y7">
        <v>1.27177E-8</v>
      </c>
      <c r="Z7">
        <v>6.1187300000000003E-5</v>
      </c>
      <c r="AA7">
        <v>3.6413099999999999E-7</v>
      </c>
      <c r="AB7">
        <v>0</v>
      </c>
      <c r="AC7">
        <v>5.6411999999999999E-3</v>
      </c>
    </row>
    <row r="8" spans="1:29">
      <c r="A8">
        <v>2010</v>
      </c>
      <c r="B8">
        <v>6.4079999999999996E-4</v>
      </c>
      <c r="C8">
        <v>0</v>
      </c>
      <c r="D8">
        <v>0</v>
      </c>
      <c r="E8">
        <v>0</v>
      </c>
      <c r="F8">
        <v>3.2292000000000001E-2</v>
      </c>
      <c r="G8">
        <v>0</v>
      </c>
      <c r="H8">
        <v>0</v>
      </c>
      <c r="I8">
        <v>0</v>
      </c>
      <c r="J8">
        <v>0.28634758399999999</v>
      </c>
      <c r="K8">
        <v>0.14453089599999999</v>
      </c>
      <c r="L8">
        <v>0</v>
      </c>
      <c r="M8">
        <v>4.0787999999999998E-2</v>
      </c>
      <c r="N8">
        <v>0</v>
      </c>
      <c r="O8">
        <v>1.459908E-3</v>
      </c>
      <c r="P8">
        <v>0</v>
      </c>
      <c r="Q8">
        <v>1.2648600320000001</v>
      </c>
      <c r="R8">
        <v>0.32636880000000001</v>
      </c>
      <c r="S8">
        <v>0</v>
      </c>
      <c r="T8">
        <v>0</v>
      </c>
      <c r="U8">
        <v>3.6000000000000001E-5</v>
      </c>
      <c r="V8">
        <v>0</v>
      </c>
      <c r="W8">
        <v>2.9980799999999998E-2</v>
      </c>
      <c r="X8">
        <v>0</v>
      </c>
      <c r="Y8">
        <v>6.5442999999999999E-8</v>
      </c>
      <c r="Z8">
        <v>9.1793500000000004E-4</v>
      </c>
      <c r="AA8">
        <v>1.2258199999999999E-6</v>
      </c>
      <c r="AB8">
        <v>0</v>
      </c>
      <c r="AC8">
        <v>3.1406400000000001E-2</v>
      </c>
    </row>
    <row r="9" spans="1:29">
      <c r="A9">
        <v>2015</v>
      </c>
      <c r="B9">
        <v>8.5320000000000003E-4</v>
      </c>
      <c r="C9">
        <v>0</v>
      </c>
      <c r="D9">
        <v>0</v>
      </c>
      <c r="E9">
        <v>0</v>
      </c>
      <c r="F9">
        <v>3.2472000000000001E-2</v>
      </c>
      <c r="G9">
        <v>0</v>
      </c>
      <c r="H9">
        <v>0</v>
      </c>
      <c r="I9">
        <v>0</v>
      </c>
      <c r="J9">
        <v>0.22339800000000001</v>
      </c>
      <c r="K9">
        <v>0.180306304</v>
      </c>
      <c r="L9">
        <v>0</v>
      </c>
      <c r="M9">
        <v>5.0572800000000001E-2</v>
      </c>
      <c r="N9">
        <v>0</v>
      </c>
      <c r="O9">
        <v>1.8212759999999999E-3</v>
      </c>
      <c r="P9">
        <v>0</v>
      </c>
      <c r="Q9">
        <v>1.3757579520000001</v>
      </c>
      <c r="R9">
        <v>0.36651238400000002</v>
      </c>
      <c r="S9">
        <v>0</v>
      </c>
      <c r="T9">
        <v>0</v>
      </c>
      <c r="U9">
        <v>3.6000000000000001E-5</v>
      </c>
      <c r="V9">
        <v>0</v>
      </c>
      <c r="W9">
        <v>2.844E-2</v>
      </c>
      <c r="X9">
        <v>0</v>
      </c>
      <c r="Y9">
        <v>4.8016179999999997E-3</v>
      </c>
      <c r="Z9">
        <v>5.6203820000000002E-3</v>
      </c>
      <c r="AA9">
        <v>5.2973599999999997E-5</v>
      </c>
      <c r="AB9">
        <v>0</v>
      </c>
      <c r="AC9">
        <v>9.7070400000000001E-2</v>
      </c>
    </row>
    <row r="10" spans="1:29">
      <c r="A10">
        <v>2020</v>
      </c>
      <c r="B10">
        <v>8.028E-4</v>
      </c>
      <c r="C10">
        <v>0</v>
      </c>
      <c r="D10">
        <v>0</v>
      </c>
      <c r="E10">
        <v>0</v>
      </c>
      <c r="F10">
        <v>3.5755200000000001E-2</v>
      </c>
      <c r="G10">
        <v>0</v>
      </c>
      <c r="H10">
        <v>0</v>
      </c>
      <c r="I10">
        <v>0</v>
      </c>
      <c r="J10">
        <v>0.1390536</v>
      </c>
      <c r="K10">
        <v>0.22667399999999999</v>
      </c>
      <c r="L10">
        <v>0</v>
      </c>
      <c r="M10">
        <v>3.1388399999999997E-2</v>
      </c>
      <c r="N10">
        <v>0</v>
      </c>
      <c r="O10">
        <v>2.2896359999999998E-3</v>
      </c>
      <c r="P10">
        <v>0</v>
      </c>
      <c r="Q10">
        <v>1.391421952</v>
      </c>
      <c r="R10">
        <v>0.35350201599999997</v>
      </c>
      <c r="S10">
        <v>0</v>
      </c>
      <c r="T10">
        <v>0</v>
      </c>
      <c r="U10">
        <v>3.6000000000000001E-5</v>
      </c>
      <c r="V10">
        <v>0</v>
      </c>
      <c r="W10">
        <v>1.6819199999999999E-2</v>
      </c>
      <c r="X10">
        <v>0</v>
      </c>
      <c r="Y10">
        <v>6.0571679999999999E-3</v>
      </c>
      <c r="Z10">
        <v>1.118683E-2</v>
      </c>
      <c r="AA10">
        <v>7.3287099999999998E-5</v>
      </c>
      <c r="AB10">
        <v>0</v>
      </c>
      <c r="AC10">
        <v>0.12873960000000001</v>
      </c>
    </row>
    <row r="11" spans="1:29">
      <c r="A11">
        <v>2025</v>
      </c>
      <c r="B11">
        <v>2.1112399999999999E-3</v>
      </c>
      <c r="C11">
        <v>0</v>
      </c>
      <c r="D11">
        <v>0</v>
      </c>
      <c r="E11">
        <v>0</v>
      </c>
      <c r="F11">
        <v>4.6353432E-2</v>
      </c>
      <c r="G11">
        <v>0</v>
      </c>
      <c r="H11">
        <v>0</v>
      </c>
      <c r="I11">
        <v>0</v>
      </c>
      <c r="J11">
        <v>9.9001904000000002E-2</v>
      </c>
      <c r="K11">
        <v>0.32943308799999999</v>
      </c>
      <c r="L11">
        <v>0</v>
      </c>
      <c r="M11">
        <v>3.9735300000000001E-2</v>
      </c>
      <c r="N11">
        <v>0</v>
      </c>
      <c r="O11">
        <v>8.1412970000000005E-3</v>
      </c>
      <c r="P11">
        <v>6.7816899999999995E-4</v>
      </c>
      <c r="Q11">
        <v>1.34429504</v>
      </c>
      <c r="R11">
        <v>0.30478691200000002</v>
      </c>
      <c r="S11">
        <v>0</v>
      </c>
      <c r="T11">
        <v>0</v>
      </c>
      <c r="U11">
        <v>0</v>
      </c>
      <c r="V11">
        <v>0</v>
      </c>
      <c r="W11">
        <v>1.489087E-2</v>
      </c>
      <c r="X11">
        <v>0</v>
      </c>
      <c r="Y11">
        <v>4.2914859999999999E-2</v>
      </c>
      <c r="Z11">
        <v>1.7663140000000001E-2</v>
      </c>
      <c r="AA11">
        <v>2.4659900000000002E-4</v>
      </c>
      <c r="AB11">
        <v>0</v>
      </c>
      <c r="AC11">
        <v>0.160230704</v>
      </c>
    </row>
    <row r="12" spans="1:29">
      <c r="A12">
        <v>2030</v>
      </c>
      <c r="B12">
        <v>1.2976229999999999E-3</v>
      </c>
      <c r="C12">
        <v>0</v>
      </c>
      <c r="D12">
        <v>0</v>
      </c>
      <c r="E12">
        <v>0</v>
      </c>
      <c r="F12">
        <v>4.0880519999999997E-2</v>
      </c>
      <c r="G12">
        <v>0</v>
      </c>
      <c r="H12">
        <v>0</v>
      </c>
      <c r="I12">
        <v>0</v>
      </c>
      <c r="J12">
        <v>3.165084E-2</v>
      </c>
      <c r="K12">
        <v>0.24245910400000001</v>
      </c>
      <c r="L12">
        <v>0</v>
      </c>
      <c r="M12">
        <v>3.1548939999999998E-2</v>
      </c>
      <c r="N12">
        <v>0</v>
      </c>
      <c r="O12">
        <v>1.913721E-3</v>
      </c>
      <c r="P12">
        <v>6.4521100000000003E-4</v>
      </c>
      <c r="Q12">
        <v>1.2771509759999999</v>
      </c>
      <c r="R12">
        <v>0.25079059199999998</v>
      </c>
      <c r="S12">
        <v>0</v>
      </c>
      <c r="T12">
        <v>0</v>
      </c>
      <c r="U12">
        <v>0</v>
      </c>
      <c r="V12">
        <v>0</v>
      </c>
      <c r="W12">
        <v>8.0238089999999998E-3</v>
      </c>
      <c r="X12">
        <v>0</v>
      </c>
      <c r="Y12">
        <v>5.7560807999999998E-2</v>
      </c>
      <c r="Z12">
        <v>6.1700560000000002E-2</v>
      </c>
      <c r="AA12">
        <v>3.9986600000000002E-4</v>
      </c>
      <c r="AB12">
        <v>0</v>
      </c>
      <c r="AC12">
        <v>0.19011239999999999</v>
      </c>
    </row>
    <row r="13" spans="1:29">
      <c r="A13">
        <v>2035</v>
      </c>
      <c r="B13">
        <v>2.7682500000000002E-4</v>
      </c>
      <c r="C13">
        <v>3.91343E-4</v>
      </c>
      <c r="D13">
        <v>0</v>
      </c>
      <c r="E13">
        <v>7.0162310000000004E-3</v>
      </c>
      <c r="F13">
        <v>4.0464680000000003E-2</v>
      </c>
      <c r="G13">
        <v>0</v>
      </c>
      <c r="H13">
        <v>0</v>
      </c>
      <c r="I13">
        <v>0</v>
      </c>
      <c r="J13">
        <v>3.1337629999999999E-3</v>
      </c>
      <c r="K13">
        <v>7.9104272000000003E-2</v>
      </c>
      <c r="L13">
        <v>1.1631580000000001E-3</v>
      </c>
      <c r="M13">
        <v>2.658746E-2</v>
      </c>
      <c r="N13">
        <v>1.069705E-2</v>
      </c>
      <c r="O13">
        <v>2.6693899999999998E-3</v>
      </c>
      <c r="P13">
        <v>6.4259500000000004E-4</v>
      </c>
      <c r="Q13">
        <v>1.2485360640000001</v>
      </c>
      <c r="R13">
        <v>0.19310759999999999</v>
      </c>
      <c r="S13">
        <v>0</v>
      </c>
      <c r="T13">
        <v>0</v>
      </c>
      <c r="U13">
        <v>0</v>
      </c>
      <c r="V13">
        <v>1.20523E-4</v>
      </c>
      <c r="W13">
        <v>3.981254E-3</v>
      </c>
      <c r="X13">
        <v>0</v>
      </c>
      <c r="Y13">
        <v>0.145064096</v>
      </c>
      <c r="Z13">
        <v>0.16796559999999999</v>
      </c>
      <c r="AA13">
        <v>1.3861780000000001E-3</v>
      </c>
      <c r="AB13">
        <v>4.3908099999999999E-2</v>
      </c>
      <c r="AC13">
        <v>0.31350521599999998</v>
      </c>
    </row>
    <row r="14" spans="1:29">
      <c r="A14">
        <v>2040</v>
      </c>
      <c r="B14">
        <v>0</v>
      </c>
      <c r="C14">
        <v>6.3670310000000004E-3</v>
      </c>
      <c r="D14">
        <v>0</v>
      </c>
      <c r="E14">
        <v>0.159235504</v>
      </c>
      <c r="F14">
        <v>1.9706499999999998E-2</v>
      </c>
      <c r="G14">
        <v>0</v>
      </c>
      <c r="H14">
        <v>0</v>
      </c>
      <c r="I14">
        <v>0</v>
      </c>
      <c r="J14">
        <v>1.7217299999999999E-4</v>
      </c>
      <c r="K14">
        <v>4.5237039999999999E-3</v>
      </c>
      <c r="L14">
        <v>2.2914369999999999E-3</v>
      </c>
      <c r="M14">
        <v>1.5213010000000001E-3</v>
      </c>
      <c r="N14">
        <v>0.10681550400000001</v>
      </c>
      <c r="O14">
        <v>1.4244839999999999E-3</v>
      </c>
      <c r="P14">
        <v>6.2543699999999995E-4</v>
      </c>
      <c r="Q14">
        <v>1.0963210240000001</v>
      </c>
      <c r="R14">
        <v>9.5056440000000006E-2</v>
      </c>
      <c r="S14">
        <v>0</v>
      </c>
      <c r="T14">
        <v>0</v>
      </c>
      <c r="U14">
        <v>0</v>
      </c>
      <c r="V14">
        <v>4.26344E-4</v>
      </c>
      <c r="W14">
        <v>1.4291180000000001E-3</v>
      </c>
      <c r="X14">
        <v>0</v>
      </c>
      <c r="Y14">
        <v>0.27430508799999997</v>
      </c>
      <c r="Z14">
        <v>0.160768192</v>
      </c>
      <c r="AA14">
        <v>5.2818309999999999E-3</v>
      </c>
      <c r="AB14">
        <v>0.17658249600000001</v>
      </c>
      <c r="AC14">
        <v>0.50322700799999998</v>
      </c>
    </row>
    <row r="15" spans="1:29">
      <c r="A15">
        <v>2045</v>
      </c>
      <c r="B15">
        <v>0</v>
      </c>
      <c r="C15">
        <v>1.3663059999999999E-2</v>
      </c>
      <c r="D15">
        <v>0</v>
      </c>
      <c r="E15">
        <v>0.25503489600000001</v>
      </c>
      <c r="F15">
        <v>8.1190680000000001E-3</v>
      </c>
      <c r="G15">
        <v>0</v>
      </c>
      <c r="H15">
        <v>0</v>
      </c>
      <c r="I15">
        <v>0</v>
      </c>
      <c r="J15">
        <v>3.2595199999999998E-7</v>
      </c>
      <c r="K15">
        <v>6.0031700000000003E-5</v>
      </c>
      <c r="L15">
        <v>9.9413100000000009E-4</v>
      </c>
      <c r="M15">
        <v>4.28664E-5</v>
      </c>
      <c r="N15">
        <v>0.38825331200000002</v>
      </c>
      <c r="O15">
        <v>5.0368199999999998E-4</v>
      </c>
      <c r="P15">
        <v>6.2289599999999995E-4</v>
      </c>
      <c r="Q15">
        <v>0.77642239999999996</v>
      </c>
      <c r="R15">
        <v>2.0189039999999998E-2</v>
      </c>
      <c r="S15">
        <v>0</v>
      </c>
      <c r="T15">
        <v>0</v>
      </c>
      <c r="U15">
        <v>0</v>
      </c>
      <c r="V15">
        <v>2.0387199999999999E-4</v>
      </c>
      <c r="W15">
        <v>3.6841599999999999E-4</v>
      </c>
      <c r="X15">
        <v>0</v>
      </c>
      <c r="Y15">
        <v>0.374322496</v>
      </c>
      <c r="Z15">
        <v>0.14509129600000001</v>
      </c>
      <c r="AA15">
        <v>1.9650279999999999E-2</v>
      </c>
      <c r="AB15">
        <v>0.25499680000000002</v>
      </c>
      <c r="AC15">
        <v>0.57338591999999999</v>
      </c>
    </row>
    <row r="16" spans="1:29">
      <c r="A16">
        <v>2050</v>
      </c>
      <c r="B16">
        <v>0</v>
      </c>
      <c r="C16">
        <v>2.0350699999999999E-2</v>
      </c>
      <c r="D16">
        <v>0</v>
      </c>
      <c r="E16">
        <v>0.42207708799999999</v>
      </c>
      <c r="F16">
        <v>7.3857600000000001E-4</v>
      </c>
      <c r="G16">
        <v>0</v>
      </c>
      <c r="H16">
        <v>0</v>
      </c>
      <c r="I16">
        <v>0</v>
      </c>
      <c r="J16">
        <v>4.2905300000000001E-9</v>
      </c>
      <c r="K16">
        <v>3.5728799999999999E-7</v>
      </c>
      <c r="L16">
        <v>1.32667E-5</v>
      </c>
      <c r="M16">
        <v>8.7297399999999997E-7</v>
      </c>
      <c r="N16">
        <v>0.38042720000000002</v>
      </c>
      <c r="O16">
        <v>9.5630400000000005E-5</v>
      </c>
      <c r="P16">
        <v>6.4785899999999998E-4</v>
      </c>
      <c r="Q16">
        <v>0.49240921599999998</v>
      </c>
      <c r="R16">
        <v>6.6841100000000005E-4</v>
      </c>
      <c r="S16">
        <v>0</v>
      </c>
      <c r="T16">
        <v>0</v>
      </c>
      <c r="U16">
        <v>0</v>
      </c>
      <c r="V16">
        <v>5.8080799999999998E-6</v>
      </c>
      <c r="W16">
        <v>6.7593000000000001E-5</v>
      </c>
      <c r="X16">
        <v>0</v>
      </c>
      <c r="Y16">
        <v>0.48846230400000001</v>
      </c>
      <c r="Z16">
        <v>0.1521856</v>
      </c>
      <c r="AA16">
        <v>2.4862349999999998E-2</v>
      </c>
      <c r="AB16">
        <v>0.327223808</v>
      </c>
      <c r="AC16">
        <v>0.68653478400000001</v>
      </c>
    </row>
    <row r="17" spans="1:30">
      <c r="A17">
        <v>2060</v>
      </c>
      <c r="B17">
        <v>0</v>
      </c>
      <c r="C17">
        <v>1.6782200000000001E-2</v>
      </c>
      <c r="D17">
        <v>0</v>
      </c>
      <c r="E17">
        <v>0.67087667200000001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6.4331799999999999E-9</v>
      </c>
      <c r="N17">
        <v>0.274852704</v>
      </c>
      <c r="O17">
        <v>0</v>
      </c>
      <c r="P17">
        <v>5.7368199999999995E-4</v>
      </c>
      <c r="Q17">
        <v>0.36893868800000001</v>
      </c>
      <c r="R17">
        <v>0</v>
      </c>
      <c r="S17">
        <v>0</v>
      </c>
      <c r="T17">
        <v>0</v>
      </c>
      <c r="U17">
        <v>0</v>
      </c>
      <c r="V17">
        <v>7.0503599999999999E-8</v>
      </c>
      <c r="W17">
        <v>0</v>
      </c>
      <c r="X17">
        <v>0</v>
      </c>
      <c r="Y17">
        <v>0.72677670400000005</v>
      </c>
      <c r="Z17">
        <v>0.13469880000000001</v>
      </c>
      <c r="AA17">
        <v>7.4143191999999997E-2</v>
      </c>
      <c r="AB17">
        <v>0.34643411200000002</v>
      </c>
      <c r="AC17">
        <v>0.87221727999999998</v>
      </c>
    </row>
    <row r="18" spans="1:30">
      <c r="A18">
        <v>2070</v>
      </c>
      <c r="B18">
        <v>0</v>
      </c>
      <c r="C18">
        <v>5.1759340000000001E-3</v>
      </c>
      <c r="D18">
        <v>0</v>
      </c>
      <c r="E18">
        <v>0.59570732800000004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8.4505919999999998E-2</v>
      </c>
      <c r="O18">
        <v>0</v>
      </c>
      <c r="P18">
        <v>2.8984200000000001E-4</v>
      </c>
      <c r="Q18">
        <v>0.114043696</v>
      </c>
      <c r="R18">
        <v>0</v>
      </c>
      <c r="S18">
        <v>0</v>
      </c>
      <c r="T18">
        <v>0</v>
      </c>
      <c r="U18">
        <v>0</v>
      </c>
      <c r="V18">
        <v>1.2083500000000001E-9</v>
      </c>
      <c r="W18">
        <v>0</v>
      </c>
      <c r="X18">
        <v>0</v>
      </c>
      <c r="Y18">
        <v>0.93361971200000005</v>
      </c>
      <c r="Z18">
        <v>0.123809904</v>
      </c>
      <c r="AA18">
        <v>0.177014896</v>
      </c>
      <c r="AB18">
        <v>0.44868899200000001</v>
      </c>
      <c r="AC18">
        <v>1.316322048</v>
      </c>
    </row>
    <row r="19" spans="1:30">
      <c r="A19">
        <v>2080</v>
      </c>
      <c r="B19">
        <v>0</v>
      </c>
      <c r="C19">
        <v>1.4277809999999999E-3</v>
      </c>
      <c r="D19">
        <v>0</v>
      </c>
      <c r="E19">
        <v>0.38487919999999998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2.1529759999999998E-2</v>
      </c>
      <c r="O19">
        <v>0</v>
      </c>
      <c r="P19">
        <v>9.2455500000000003E-5</v>
      </c>
      <c r="Q19">
        <v>2.4468340000000002E-2</v>
      </c>
      <c r="R19">
        <v>0</v>
      </c>
      <c r="S19">
        <v>0</v>
      </c>
      <c r="T19">
        <v>0</v>
      </c>
      <c r="U19">
        <v>0</v>
      </c>
      <c r="V19">
        <v>1.3721600000000001E-12</v>
      </c>
      <c r="W19">
        <v>0</v>
      </c>
      <c r="X19">
        <v>0</v>
      </c>
      <c r="Y19">
        <v>1.278203008</v>
      </c>
      <c r="Z19">
        <v>6.8731743999999997E-2</v>
      </c>
      <c r="AA19">
        <v>0.29021920000000001</v>
      </c>
      <c r="AB19">
        <v>0.51696150399999996</v>
      </c>
      <c r="AC19">
        <v>1.401686016</v>
      </c>
    </row>
    <row r="20" spans="1:30">
      <c r="A20">
        <v>2090</v>
      </c>
      <c r="B20">
        <v>0</v>
      </c>
      <c r="C20">
        <v>7.3726E-4</v>
      </c>
      <c r="D20">
        <v>0</v>
      </c>
      <c r="E20">
        <v>0.33305011200000001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2.857148E-2</v>
      </c>
      <c r="O20">
        <v>0</v>
      </c>
      <c r="P20">
        <v>6.3774699999999998E-5</v>
      </c>
      <c r="Q20">
        <v>0.106189696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1.261009024</v>
      </c>
      <c r="Z20">
        <v>9.4389767999999999E-2</v>
      </c>
      <c r="AA20">
        <v>0.317125088</v>
      </c>
      <c r="AB20">
        <v>0.61611391999999998</v>
      </c>
      <c r="AC20">
        <v>1.169213952</v>
      </c>
    </row>
    <row r="21" spans="1:30">
      <c r="A21">
        <v>2100</v>
      </c>
      <c r="B21">
        <v>0</v>
      </c>
      <c r="C21">
        <v>4.44468E-4</v>
      </c>
      <c r="D21">
        <v>0</v>
      </c>
      <c r="E21">
        <v>0.40718889600000002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5.4792220000000003E-2</v>
      </c>
      <c r="O21">
        <v>0</v>
      </c>
      <c r="P21">
        <v>1.05006E-4</v>
      </c>
      <c r="Q21">
        <v>0.13000070399999999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1.336910976</v>
      </c>
      <c r="Z21">
        <v>9.8417599999999994E-2</v>
      </c>
      <c r="AA21">
        <v>0.40735020799999999</v>
      </c>
      <c r="AB21">
        <v>0.46533980800000002</v>
      </c>
      <c r="AC21">
        <v>0.89608511999999996</v>
      </c>
    </row>
    <row r="23" spans="1:30">
      <c r="A23" t="s">
        <v>31</v>
      </c>
      <c r="B23" t="s">
        <v>2</v>
      </c>
      <c r="C23" t="s">
        <v>3</v>
      </c>
      <c r="D23" t="s">
        <v>4</v>
      </c>
      <c r="E23" t="s">
        <v>5</v>
      </c>
      <c r="F23" t="s">
        <v>6</v>
      </c>
      <c r="G23" t="s">
        <v>7</v>
      </c>
      <c r="H23" t="s">
        <v>8</v>
      </c>
      <c r="I23" t="s">
        <v>9</v>
      </c>
      <c r="J23" t="s">
        <v>10</v>
      </c>
      <c r="K23" t="s">
        <v>11</v>
      </c>
      <c r="L23" t="s">
        <v>12</v>
      </c>
      <c r="M23" t="s">
        <v>13</v>
      </c>
      <c r="N23" t="s">
        <v>14</v>
      </c>
      <c r="O23" t="s">
        <v>15</v>
      </c>
      <c r="P23" t="s">
        <v>16</v>
      </c>
      <c r="Q23" t="s">
        <v>17</v>
      </c>
      <c r="R23" t="s">
        <v>18</v>
      </c>
      <c r="S23" t="s">
        <v>19</v>
      </c>
      <c r="T23" t="s">
        <v>20</v>
      </c>
      <c r="U23" t="s">
        <v>21</v>
      </c>
      <c r="V23" t="s">
        <v>22</v>
      </c>
      <c r="W23" t="s">
        <v>23</v>
      </c>
      <c r="X23" t="s">
        <v>24</v>
      </c>
      <c r="Y23" t="s">
        <v>25</v>
      </c>
      <c r="Z23" t="s">
        <v>26</v>
      </c>
      <c r="AA23" s="3" t="s">
        <v>27</v>
      </c>
      <c r="AB23" t="s">
        <v>28</v>
      </c>
      <c r="AC23" t="s">
        <v>29</v>
      </c>
    </row>
    <row r="24" spans="1:30">
      <c r="A24">
        <v>2005</v>
      </c>
      <c r="B24" s="2">
        <f>B7/SUM($B7:$AC7)</f>
        <v>4.6053408184508948E-4</v>
      </c>
      <c r="C24" s="2">
        <f t="shared" ref="C24:AC34" si="0">C7/SUM($B7:$AC7)</f>
        <v>0</v>
      </c>
      <c r="D24" s="2">
        <f t="shared" si="0"/>
        <v>0</v>
      </c>
      <c r="E24" s="2">
        <f t="shared" si="0"/>
        <v>0</v>
      </c>
      <c r="F24" s="2">
        <f t="shared" si="0"/>
        <v>1.2894954291662505E-2</v>
      </c>
      <c r="G24" s="2">
        <f t="shared" si="0"/>
        <v>0</v>
      </c>
      <c r="H24" s="2">
        <f t="shared" si="0"/>
        <v>0</v>
      </c>
      <c r="I24" s="2">
        <f t="shared" si="0"/>
        <v>0</v>
      </c>
      <c r="J24" s="2">
        <f t="shared" si="0"/>
        <v>0.16196951453311245</v>
      </c>
      <c r="K24" s="2">
        <f t="shared" si="0"/>
        <v>5.2380788633721045E-2</v>
      </c>
      <c r="L24" s="2">
        <f t="shared" si="0"/>
        <v>0</v>
      </c>
      <c r="M24" s="2">
        <f t="shared" si="0"/>
        <v>1.3022164754829504E-2</v>
      </c>
      <c r="N24" s="2">
        <f t="shared" si="0"/>
        <v>0</v>
      </c>
      <c r="O24" s="2">
        <f t="shared" si="0"/>
        <v>5.290989112330752E-4</v>
      </c>
      <c r="P24" s="2">
        <f t="shared" si="0"/>
        <v>0</v>
      </c>
      <c r="Q24" s="2">
        <f t="shared" si="0"/>
        <v>0.5827849472076041</v>
      </c>
      <c r="R24" s="2">
        <f t="shared" si="0"/>
        <v>0.14820824088469245</v>
      </c>
      <c r="S24" s="2">
        <f t="shared" si="0"/>
        <v>0</v>
      </c>
      <c r="T24" s="2">
        <f t="shared" si="0"/>
        <v>0</v>
      </c>
      <c r="U24" s="2">
        <f t="shared" si="0"/>
        <v>1.6102590274303827E-5</v>
      </c>
      <c r="V24" s="2">
        <f t="shared" si="0"/>
        <v>0</v>
      </c>
      <c r="W24" s="2">
        <f t="shared" si="0"/>
        <v>2.5182840929983755E-2</v>
      </c>
      <c r="X24" s="2">
        <f t="shared" si="0"/>
        <v>0</v>
      </c>
      <c r="Y24" s="2">
        <f t="shared" si="0"/>
        <v>5.6885531203198277E-9</v>
      </c>
      <c r="Z24" s="2">
        <f t="shared" si="0"/>
        <v>2.7368722830303072E-5</v>
      </c>
      <c r="AA24" s="2">
        <f t="shared" si="0"/>
        <v>1.6287367497701464E-7</v>
      </c>
      <c r="AB24" s="2">
        <f t="shared" si="0"/>
        <v>0</v>
      </c>
      <c r="AC24" s="2">
        <f t="shared" si="0"/>
        <v>2.5232758959834096E-3</v>
      </c>
      <c r="AD24" s="2">
        <f>SUM(B24:AC24)</f>
        <v>1</v>
      </c>
    </row>
    <row r="25" spans="1:30">
      <c r="A25">
        <v>2010</v>
      </c>
      <c r="B25" s="2">
        <f t="shared" ref="B25:Q38" si="1">B8/SUM($B8:$AC8)</f>
        <v>2.9671743196102505E-4</v>
      </c>
      <c r="C25" s="2">
        <f t="shared" si="1"/>
        <v>0</v>
      </c>
      <c r="D25" s="2">
        <f t="shared" si="1"/>
        <v>0</v>
      </c>
      <c r="E25" s="2">
        <f t="shared" si="1"/>
        <v>0</v>
      </c>
      <c r="F25" s="2">
        <f t="shared" si="1"/>
        <v>1.4952558228597725E-2</v>
      </c>
      <c r="G25" s="2">
        <f t="shared" si="1"/>
        <v>0</v>
      </c>
      <c r="H25" s="2">
        <f t="shared" si="1"/>
        <v>0</v>
      </c>
      <c r="I25" s="2">
        <f t="shared" si="1"/>
        <v>0</v>
      </c>
      <c r="J25" s="2">
        <f t="shared" si="1"/>
        <v>0.1325910108812795</v>
      </c>
      <c r="K25" s="2">
        <f t="shared" si="1"/>
        <v>6.6923901841676015E-2</v>
      </c>
      <c r="L25" s="2">
        <f t="shared" si="1"/>
        <v>0</v>
      </c>
      <c r="M25" s="2">
        <f t="shared" si="1"/>
        <v>1.8886564629878731E-2</v>
      </c>
      <c r="N25" s="2">
        <f t="shared" si="1"/>
        <v>0</v>
      </c>
      <c r="O25" s="2">
        <f t="shared" si="1"/>
        <v>6.759989897930028E-4</v>
      </c>
      <c r="P25" s="2">
        <f t="shared" si="1"/>
        <v>0</v>
      </c>
      <c r="Q25" s="2">
        <f t="shared" si="1"/>
        <v>0.58568355256738458</v>
      </c>
      <c r="R25" s="2">
        <f t="shared" si="0"/>
        <v>0.15112252217259894</v>
      </c>
      <c r="S25" s="2">
        <f t="shared" si="0"/>
        <v>0</v>
      </c>
      <c r="T25" s="2">
        <f t="shared" si="0"/>
        <v>0</v>
      </c>
      <c r="U25" s="2">
        <f t="shared" si="0"/>
        <v>1.666951864949579E-5</v>
      </c>
      <c r="V25" s="2">
        <f t="shared" si="0"/>
        <v>0</v>
      </c>
      <c r="W25" s="2">
        <f t="shared" si="0"/>
        <v>1.3882375131300093E-2</v>
      </c>
      <c r="X25" s="2">
        <f t="shared" si="0"/>
        <v>0</v>
      </c>
      <c r="Y25" s="2">
        <f t="shared" si="0"/>
        <v>3.0302869693859808E-8</v>
      </c>
      <c r="Z25" s="2">
        <f t="shared" si="0"/>
        <v>4.2504262782013663E-4</v>
      </c>
      <c r="AA25" s="2">
        <f t="shared" si="0"/>
        <v>5.6760637085902577E-7</v>
      </c>
      <c r="AB25" s="2">
        <f t="shared" si="0"/>
        <v>0</v>
      </c>
      <c r="AC25" s="2">
        <f t="shared" si="0"/>
        <v>1.4542488069820128E-2</v>
      </c>
      <c r="AD25" s="2">
        <f t="shared" ref="AD25:AD38" si="2">SUM(B25:AC25)</f>
        <v>1</v>
      </c>
    </row>
    <row r="26" spans="1:30">
      <c r="A26">
        <v>2015</v>
      </c>
      <c r="B26" s="2">
        <f t="shared" si="1"/>
        <v>3.6034737949601145E-4</v>
      </c>
      <c r="C26" s="2">
        <f t="shared" si="0"/>
        <v>0</v>
      </c>
      <c r="D26" s="2">
        <f t="shared" si="0"/>
        <v>0</v>
      </c>
      <c r="E26" s="2">
        <f t="shared" si="0"/>
        <v>0</v>
      </c>
      <c r="F26" s="2">
        <f t="shared" si="0"/>
        <v>1.3714486763941026E-2</v>
      </c>
      <c r="G26" s="2">
        <f t="shared" si="0"/>
        <v>0</v>
      </c>
      <c r="H26" s="2">
        <f t="shared" si="0"/>
        <v>0</v>
      </c>
      <c r="I26" s="2">
        <f t="shared" si="0"/>
        <v>0</v>
      </c>
      <c r="J26" s="2">
        <f t="shared" si="0"/>
        <v>9.4351715757911361E-2</v>
      </c>
      <c r="K26" s="2">
        <f t="shared" si="0"/>
        <v>7.6152020807561185E-2</v>
      </c>
      <c r="L26" s="2">
        <f t="shared" si="0"/>
        <v>0</v>
      </c>
      <c r="M26" s="2">
        <f t="shared" si="0"/>
        <v>2.135932484033742E-2</v>
      </c>
      <c r="N26" s="2">
        <f t="shared" si="0"/>
        <v>0</v>
      </c>
      <c r="O26" s="2">
        <f t="shared" si="0"/>
        <v>7.6921241671235084E-4</v>
      </c>
      <c r="P26" s="2">
        <f t="shared" si="0"/>
        <v>0</v>
      </c>
      <c r="Q26" s="2">
        <f t="shared" si="0"/>
        <v>0.58104872576652544</v>
      </c>
      <c r="R26" s="2">
        <f t="shared" si="0"/>
        <v>0.15479580066483342</v>
      </c>
      <c r="S26" s="2">
        <f t="shared" si="0"/>
        <v>0</v>
      </c>
      <c r="T26" s="2">
        <f t="shared" si="0"/>
        <v>0</v>
      </c>
      <c r="U26" s="2">
        <f t="shared" si="0"/>
        <v>1.5204530780422424E-5</v>
      </c>
      <c r="V26" s="2">
        <f t="shared" si="0"/>
        <v>0</v>
      </c>
      <c r="W26" s="2">
        <f t="shared" si="0"/>
        <v>1.2011579316533716E-2</v>
      </c>
      <c r="X26" s="2">
        <f t="shared" si="0"/>
        <v>0</v>
      </c>
      <c r="Y26" s="2">
        <f t="shared" si="0"/>
        <v>2.0279541299119542E-3</v>
      </c>
      <c r="Z26" s="2">
        <f t="shared" si="0"/>
        <v>2.3737575310203373E-3</v>
      </c>
      <c r="AA26" s="2">
        <f t="shared" si="0"/>
        <v>2.2373298104160701E-5</v>
      </c>
      <c r="AB26" s="2">
        <f t="shared" si="0"/>
        <v>0</v>
      </c>
      <c r="AC26" s="2">
        <f t="shared" si="0"/>
        <v>4.0997496796331023E-2</v>
      </c>
      <c r="AD26" s="2">
        <f t="shared" si="2"/>
        <v>0.99999999999999989</v>
      </c>
    </row>
    <row r="27" spans="1:30">
      <c r="A27">
        <v>2020</v>
      </c>
      <c r="B27" s="2">
        <f t="shared" si="1"/>
        <v>3.4252073832652001E-4</v>
      </c>
      <c r="C27" s="2">
        <f t="shared" si="0"/>
        <v>0</v>
      </c>
      <c r="D27" s="2">
        <f t="shared" si="0"/>
        <v>0</v>
      </c>
      <c r="E27" s="2">
        <f t="shared" si="0"/>
        <v>0</v>
      </c>
      <c r="F27" s="2">
        <f t="shared" si="0"/>
        <v>1.5255228578739895E-2</v>
      </c>
      <c r="G27" s="2">
        <f t="shared" si="0"/>
        <v>0</v>
      </c>
      <c r="H27" s="2">
        <f t="shared" si="0"/>
        <v>0</v>
      </c>
      <c r="I27" s="2">
        <f t="shared" si="0"/>
        <v>0</v>
      </c>
      <c r="J27" s="2">
        <f t="shared" si="0"/>
        <v>5.9328278200000722E-2</v>
      </c>
      <c r="K27" s="2">
        <f t="shared" si="0"/>
        <v>9.6712189635557541E-2</v>
      </c>
      <c r="L27" s="2">
        <f t="shared" si="0"/>
        <v>0</v>
      </c>
      <c r="M27" s="2">
        <f t="shared" si="0"/>
        <v>1.3392100078335998E-2</v>
      </c>
      <c r="N27" s="2">
        <f t="shared" si="0"/>
        <v>0</v>
      </c>
      <c r="O27" s="2">
        <f t="shared" si="0"/>
        <v>9.7689064925134518E-4</v>
      </c>
      <c r="P27" s="2">
        <f t="shared" si="0"/>
        <v>0</v>
      </c>
      <c r="Q27" s="2">
        <f t="shared" si="0"/>
        <v>0.59366078017285462</v>
      </c>
      <c r="R27" s="2">
        <f t="shared" si="0"/>
        <v>0.15082432924792386</v>
      </c>
      <c r="S27" s="2">
        <f t="shared" si="0"/>
        <v>0</v>
      </c>
      <c r="T27" s="2">
        <f t="shared" si="0"/>
        <v>0</v>
      </c>
      <c r="U27" s="2">
        <f t="shared" si="0"/>
        <v>1.5359674364417938E-5</v>
      </c>
      <c r="V27" s="2">
        <f t="shared" si="0"/>
        <v>0</v>
      </c>
      <c r="W27" s="2">
        <f t="shared" si="0"/>
        <v>7.1760398630560602E-3</v>
      </c>
      <c r="X27" s="2">
        <f t="shared" si="0"/>
        <v>0</v>
      </c>
      <c r="Y27" s="2">
        <f t="shared" si="0"/>
        <v>2.5843368902936851E-3</v>
      </c>
      <c r="Z27" s="2">
        <f t="shared" si="0"/>
        <v>4.7729462769472639E-3</v>
      </c>
      <c r="AA27" s="2">
        <f t="shared" si="0"/>
        <v>3.1268499753125939E-5</v>
      </c>
      <c r="AB27" s="2">
        <f t="shared" si="0"/>
        <v>0</v>
      </c>
      <c r="AC27" s="2">
        <f t="shared" si="0"/>
        <v>5.492773149459499E-2</v>
      </c>
      <c r="AD27" s="2">
        <f t="shared" si="2"/>
        <v>0.99999999999999989</v>
      </c>
    </row>
    <row r="28" spans="1:30">
      <c r="A28">
        <v>2025</v>
      </c>
      <c r="B28" s="2">
        <f t="shared" si="1"/>
        <v>8.7585782175469864E-4</v>
      </c>
      <c r="C28" s="2">
        <f t="shared" si="0"/>
        <v>0</v>
      </c>
      <c r="D28" s="2">
        <f t="shared" si="0"/>
        <v>0</v>
      </c>
      <c r="E28" s="2">
        <f t="shared" si="0"/>
        <v>0</v>
      </c>
      <c r="F28" s="2">
        <f t="shared" si="0"/>
        <v>1.9229938795387803E-2</v>
      </c>
      <c r="G28" s="2">
        <f t="shared" si="0"/>
        <v>0</v>
      </c>
      <c r="H28" s="2">
        <f t="shared" si="0"/>
        <v>0</v>
      </c>
      <c r="I28" s="2">
        <f t="shared" si="0"/>
        <v>0</v>
      </c>
      <c r="J28" s="2">
        <f t="shared" si="0"/>
        <v>4.1071404476519857E-2</v>
      </c>
      <c r="K28" s="2">
        <f t="shared" si="0"/>
        <v>0.13666686254030994</v>
      </c>
      <c r="L28" s="2">
        <f t="shared" si="0"/>
        <v>0</v>
      </c>
      <c r="M28" s="2">
        <f t="shared" si="0"/>
        <v>1.6484375677217881E-2</v>
      </c>
      <c r="N28" s="2">
        <f t="shared" si="0"/>
        <v>0</v>
      </c>
      <c r="O28" s="2">
        <f t="shared" si="0"/>
        <v>3.3774552664207116E-3</v>
      </c>
      <c r="P28" s="2">
        <f t="shared" si="0"/>
        <v>2.8134159220247922E-4</v>
      </c>
      <c r="Q28" s="2">
        <f t="shared" si="0"/>
        <v>0.55768710593302773</v>
      </c>
      <c r="R28" s="2">
        <f t="shared" si="0"/>
        <v>0.12644228076564532</v>
      </c>
      <c r="S28" s="2">
        <f t="shared" si="0"/>
        <v>0</v>
      </c>
      <c r="T28" s="2">
        <f t="shared" si="0"/>
        <v>0</v>
      </c>
      <c r="U28" s="2">
        <f t="shared" si="0"/>
        <v>0</v>
      </c>
      <c r="V28" s="2">
        <f t="shared" si="0"/>
        <v>0</v>
      </c>
      <c r="W28" s="2">
        <f t="shared" si="0"/>
        <v>6.177547300274905E-3</v>
      </c>
      <c r="X28" s="2">
        <f t="shared" si="0"/>
        <v>0</v>
      </c>
      <c r="Y28" s="2">
        <f t="shared" si="0"/>
        <v>1.7803431064449256E-2</v>
      </c>
      <c r="Z28" s="2">
        <f t="shared" si="0"/>
        <v>7.3276365196511479E-3</v>
      </c>
      <c r="AA28" s="2">
        <f t="shared" si="0"/>
        <v>1.0230275240469437E-4</v>
      </c>
      <c r="AB28" s="2">
        <f t="shared" si="0"/>
        <v>0</v>
      </c>
      <c r="AC28" s="2">
        <f t="shared" si="0"/>
        <v>6.6472459494733849E-2</v>
      </c>
      <c r="AD28" s="2">
        <f t="shared" si="2"/>
        <v>1.0000000000000004</v>
      </c>
    </row>
    <row r="29" spans="1:30">
      <c r="A29">
        <v>2030</v>
      </c>
      <c r="B29" s="2">
        <f t="shared" si="1"/>
        <v>5.9086668976451851E-4</v>
      </c>
      <c r="C29" s="2">
        <f t="shared" si="0"/>
        <v>0</v>
      </c>
      <c r="D29" s="2">
        <f t="shared" si="0"/>
        <v>0</v>
      </c>
      <c r="E29" s="2">
        <f t="shared" si="0"/>
        <v>0</v>
      </c>
      <c r="F29" s="2">
        <f t="shared" si="0"/>
        <v>1.8614757543795227E-2</v>
      </c>
      <c r="G29" s="2">
        <f t="shared" si="0"/>
        <v>0</v>
      </c>
      <c r="H29" s="2">
        <f t="shared" si="0"/>
        <v>0</v>
      </c>
      <c r="I29" s="2">
        <f t="shared" si="0"/>
        <v>0</v>
      </c>
      <c r="J29" s="2">
        <f t="shared" si="0"/>
        <v>1.4412065028954028E-2</v>
      </c>
      <c r="K29" s="2">
        <f t="shared" si="0"/>
        <v>0.11040264251153928</v>
      </c>
      <c r="L29" s="2">
        <f t="shared" si="0"/>
        <v>0</v>
      </c>
      <c r="M29" s="2">
        <f t="shared" si="0"/>
        <v>1.4365665330669545E-2</v>
      </c>
      <c r="N29" s="2">
        <f t="shared" si="0"/>
        <v>0</v>
      </c>
      <c r="O29" s="2">
        <f t="shared" si="0"/>
        <v>8.7140409225394753E-4</v>
      </c>
      <c r="P29" s="2">
        <f t="shared" si="0"/>
        <v>2.9379387369802689E-4</v>
      </c>
      <c r="Q29" s="2">
        <f t="shared" si="0"/>
        <v>0.58154484740070422</v>
      </c>
      <c r="R29" s="2">
        <f t="shared" si="0"/>
        <v>0.11419634741301898</v>
      </c>
      <c r="S29" s="2">
        <f t="shared" si="0"/>
        <v>0</v>
      </c>
      <c r="T29" s="2">
        <f t="shared" si="0"/>
        <v>0</v>
      </c>
      <c r="U29" s="2">
        <f t="shared" si="0"/>
        <v>0</v>
      </c>
      <c r="V29" s="2">
        <f t="shared" si="0"/>
        <v>0</v>
      </c>
      <c r="W29" s="2">
        <f t="shared" si="0"/>
        <v>3.6536046780403487E-3</v>
      </c>
      <c r="X29" s="2">
        <f t="shared" si="0"/>
        <v>0</v>
      </c>
      <c r="Y29" s="2">
        <f t="shared" si="0"/>
        <v>2.6210050286663397E-2</v>
      </c>
      <c r="Z29" s="2">
        <f t="shared" si="0"/>
        <v>2.8095067399250061E-2</v>
      </c>
      <c r="AA29" s="2">
        <f t="shared" si="0"/>
        <v>1.8207715166067414E-4</v>
      </c>
      <c r="AB29" s="2">
        <f t="shared" si="0"/>
        <v>0</v>
      </c>
      <c r="AC29" s="2">
        <f t="shared" si="0"/>
        <v>8.6566810599987859E-2</v>
      </c>
      <c r="AD29" s="2">
        <f t="shared" si="2"/>
        <v>1</v>
      </c>
    </row>
    <row r="30" spans="1:30">
      <c r="A30">
        <v>2035</v>
      </c>
      <c r="B30" s="2">
        <f>B13/SUM($B13:$AC13)</f>
        <v>1.2089898807854876E-4</v>
      </c>
      <c r="C30" s="2">
        <f t="shared" ref="C30:AC30" si="3">C13/SUM($B13:$AC13)</f>
        <v>1.7091293305020682E-4</v>
      </c>
      <c r="D30" s="2">
        <f t="shared" si="3"/>
        <v>0</v>
      </c>
      <c r="E30" s="2">
        <f t="shared" si="3"/>
        <v>3.0642291267961499E-3</v>
      </c>
      <c r="F30" s="2">
        <f t="shared" si="3"/>
        <v>1.7672315957454315E-2</v>
      </c>
      <c r="G30" s="2">
        <f t="shared" si="3"/>
        <v>0</v>
      </c>
      <c r="H30" s="2">
        <f t="shared" si="3"/>
        <v>0</v>
      </c>
      <c r="I30" s="2">
        <f t="shared" si="3"/>
        <v>0</v>
      </c>
      <c r="J30" s="2">
        <f t="shared" si="3"/>
        <v>1.3686219654221879E-3</v>
      </c>
      <c r="K30" s="2">
        <f t="shared" si="3"/>
        <v>3.4547553282724748E-2</v>
      </c>
      <c r="L30" s="2">
        <f t="shared" si="3"/>
        <v>5.079910599673751E-4</v>
      </c>
      <c r="M30" s="2">
        <f t="shared" si="3"/>
        <v>1.1611657218744303E-2</v>
      </c>
      <c r="N30" s="2">
        <f t="shared" si="3"/>
        <v>4.6717692420324749E-3</v>
      </c>
      <c r="O30" s="2">
        <f t="shared" si="3"/>
        <v>1.165814322358881E-3</v>
      </c>
      <c r="P30" s="2">
        <f t="shared" si="3"/>
        <v>2.8064331344472153E-4</v>
      </c>
      <c r="Q30" s="2">
        <f t="shared" si="3"/>
        <v>0.54527859375841847</v>
      </c>
      <c r="R30" s="2">
        <f t="shared" si="3"/>
        <v>8.4336723309950901E-2</v>
      </c>
      <c r="S30" s="2">
        <f t="shared" si="3"/>
        <v>0</v>
      </c>
      <c r="T30" s="2">
        <f t="shared" si="3"/>
        <v>0</v>
      </c>
      <c r="U30" s="2">
        <f t="shared" si="3"/>
        <v>0</v>
      </c>
      <c r="V30" s="2">
        <f t="shared" si="3"/>
        <v>5.2636534778979247E-5</v>
      </c>
      <c r="W30" s="2">
        <f t="shared" si="3"/>
        <v>1.73875040145823E-3</v>
      </c>
      <c r="X30" s="2">
        <f t="shared" si="3"/>
        <v>0</v>
      </c>
      <c r="Y30" s="2">
        <f t="shared" si="3"/>
        <v>6.3354474534198332E-2</v>
      </c>
      <c r="Z30" s="2">
        <f t="shared" si="3"/>
        <v>7.3356348133319926E-2</v>
      </c>
      <c r="AA30" s="2">
        <f t="shared" si="3"/>
        <v>6.0539155602545489E-4</v>
      </c>
      <c r="AB30" s="2">
        <f t="shared" si="3"/>
        <v>1.9176175773328731E-2</v>
      </c>
      <c r="AC30" s="2">
        <f t="shared" si="3"/>
        <v>0.13691849858844701</v>
      </c>
      <c r="AD30" s="2">
        <f t="shared" si="2"/>
        <v>0.99999999999999978</v>
      </c>
    </row>
    <row r="31" spans="1:30">
      <c r="A31">
        <v>2040</v>
      </c>
      <c r="B31" s="2">
        <f t="shared" si="1"/>
        <v>0</v>
      </c>
      <c r="C31" s="2">
        <f t="shared" si="0"/>
        <v>2.4338053502858874E-3</v>
      </c>
      <c r="D31" s="2">
        <f t="shared" si="0"/>
        <v>0</v>
      </c>
      <c r="E31" s="2">
        <f t="shared" si="0"/>
        <v>6.0867965240104814E-2</v>
      </c>
      <c r="F31" s="2">
        <f t="shared" si="0"/>
        <v>7.5328336135647581E-3</v>
      </c>
      <c r="G31" s="2">
        <f t="shared" si="0"/>
        <v>0</v>
      </c>
      <c r="H31" s="2">
        <f t="shared" si="0"/>
        <v>0</v>
      </c>
      <c r="I31" s="2">
        <f t="shared" si="0"/>
        <v>0</v>
      </c>
      <c r="J31" s="2">
        <f t="shared" si="0"/>
        <v>6.5813338834815174E-5</v>
      </c>
      <c r="K31" s="2">
        <f t="shared" si="0"/>
        <v>1.7291913606686804E-3</v>
      </c>
      <c r="L31" s="2">
        <f t="shared" si="0"/>
        <v>8.7590458259792395E-4</v>
      </c>
      <c r="M31" s="2">
        <f t="shared" si="0"/>
        <v>5.8151915911753389E-4</v>
      </c>
      <c r="N31" s="2">
        <f t="shared" si="0"/>
        <v>4.0830356429658286E-2</v>
      </c>
      <c r="O31" s="2">
        <f t="shared" si="0"/>
        <v>5.445107430129745E-4</v>
      </c>
      <c r="P31" s="2">
        <f t="shared" si="0"/>
        <v>2.3907405458945533E-4</v>
      </c>
      <c r="Q31" s="2">
        <f t="shared" si="0"/>
        <v>0.4190700459668098</v>
      </c>
      <c r="R31" s="2">
        <f t="shared" si="0"/>
        <v>3.6335439901443771E-2</v>
      </c>
      <c r="S31" s="2">
        <f t="shared" si="0"/>
        <v>0</v>
      </c>
      <c r="T31" s="2">
        <f t="shared" si="0"/>
        <v>0</v>
      </c>
      <c r="U31" s="2">
        <f t="shared" si="0"/>
        <v>0</v>
      </c>
      <c r="V31" s="2">
        <f t="shared" si="0"/>
        <v>1.629705129851396E-4</v>
      </c>
      <c r="W31" s="2">
        <f t="shared" si="0"/>
        <v>5.4628209515390563E-4</v>
      </c>
      <c r="X31" s="2">
        <f t="shared" si="0"/>
        <v>0</v>
      </c>
      <c r="Y31" s="2">
        <f t="shared" si="0"/>
        <v>0.10485345379738863</v>
      </c>
      <c r="Z31" s="2">
        <f t="shared" si="0"/>
        <v>6.1453837093833653E-2</v>
      </c>
      <c r="AA31" s="2">
        <f t="shared" si="0"/>
        <v>2.018986329280611E-3</v>
      </c>
      <c r="AB31" s="2">
        <f t="shared" si="0"/>
        <v>6.7498874048459376E-2</v>
      </c>
      <c r="AC31" s="2">
        <f t="shared" si="0"/>
        <v>0.19235913638221</v>
      </c>
      <c r="AD31" s="2">
        <f t="shared" si="2"/>
        <v>1</v>
      </c>
    </row>
    <row r="32" spans="1:30">
      <c r="A32">
        <v>2045</v>
      </c>
      <c r="B32" s="2">
        <f t="shared" si="1"/>
        <v>0</v>
      </c>
      <c r="C32" s="2">
        <f t="shared" si="0"/>
        <v>4.8246549671164731E-3</v>
      </c>
      <c r="D32" s="2">
        <f t="shared" si="0"/>
        <v>0</v>
      </c>
      <c r="E32" s="2">
        <f t="shared" si="0"/>
        <v>9.0057086609766274E-2</v>
      </c>
      <c r="F32" s="2">
        <f t="shared" si="0"/>
        <v>2.8669786822685703E-3</v>
      </c>
      <c r="G32" s="2">
        <f t="shared" si="0"/>
        <v>0</v>
      </c>
      <c r="H32" s="2">
        <f t="shared" si="0"/>
        <v>0</v>
      </c>
      <c r="I32" s="2">
        <f t="shared" si="0"/>
        <v>0</v>
      </c>
      <c r="J32" s="2">
        <f t="shared" si="0"/>
        <v>1.1509910194652943E-7</v>
      </c>
      <c r="K32" s="2">
        <f t="shared" si="0"/>
        <v>2.1198197152720252E-5</v>
      </c>
      <c r="L32" s="2">
        <f t="shared" si="0"/>
        <v>3.5104428049898538E-4</v>
      </c>
      <c r="M32" s="2">
        <f t="shared" si="0"/>
        <v>1.5136842675242704E-5</v>
      </c>
      <c r="N32" s="2">
        <f t="shared" si="0"/>
        <v>0.13709873705013531</v>
      </c>
      <c r="O32" s="2">
        <f t="shared" si="0"/>
        <v>1.7785853704420235E-4</v>
      </c>
      <c r="P32" s="2">
        <f t="shared" si="0"/>
        <v>2.1995499400551431E-4</v>
      </c>
      <c r="Q32" s="2">
        <f t="shared" si="0"/>
        <v>0.2741677331974311</v>
      </c>
      <c r="R32" s="2">
        <f t="shared" si="0"/>
        <v>7.1290876361015136E-3</v>
      </c>
      <c r="S32" s="2">
        <f t="shared" si="0"/>
        <v>0</v>
      </c>
      <c r="T32" s="2">
        <f t="shared" si="0"/>
        <v>0</v>
      </c>
      <c r="U32" s="2">
        <f t="shared" si="0"/>
        <v>0</v>
      </c>
      <c r="V32" s="2">
        <f t="shared" si="0"/>
        <v>7.1990612458407524E-5</v>
      </c>
      <c r="W32" s="2">
        <f t="shared" si="0"/>
        <v>1.3009385045262062E-4</v>
      </c>
      <c r="X32" s="2">
        <f t="shared" si="0"/>
        <v>0</v>
      </c>
      <c r="Y32" s="2">
        <f t="shared" si="0"/>
        <v>0.13217953296185744</v>
      </c>
      <c r="Z32" s="2">
        <f t="shared" si="0"/>
        <v>5.1234162913122425E-2</v>
      </c>
      <c r="AA32" s="2">
        <f t="shared" si="0"/>
        <v>6.9388424706639277E-3</v>
      </c>
      <c r="AB32" s="2">
        <f t="shared" si="0"/>
        <v>9.0043634275104256E-2</v>
      </c>
      <c r="AC32" s="2">
        <f t="shared" si="0"/>
        <v>0.2024721568230432</v>
      </c>
      <c r="AD32" s="2">
        <f t="shared" si="2"/>
        <v>1.0000000000000002</v>
      </c>
    </row>
    <row r="33" spans="1:30">
      <c r="A33">
        <v>2050</v>
      </c>
      <c r="B33" s="2">
        <f t="shared" si="1"/>
        <v>0</v>
      </c>
      <c r="C33" s="2">
        <f t="shared" si="0"/>
        <v>6.790874941238755E-3</v>
      </c>
      <c r="D33" s="2">
        <f t="shared" si="0"/>
        <v>0</v>
      </c>
      <c r="E33" s="2">
        <f t="shared" si="0"/>
        <v>0.14084393756333813</v>
      </c>
      <c r="F33" s="2">
        <f t="shared" si="0"/>
        <v>2.4645723491576973E-4</v>
      </c>
      <c r="G33" s="2">
        <f t="shared" si="0"/>
        <v>0</v>
      </c>
      <c r="H33" s="2">
        <f t="shared" si="0"/>
        <v>0</v>
      </c>
      <c r="I33" s="2">
        <f t="shared" si="0"/>
        <v>0</v>
      </c>
      <c r="J33" s="2">
        <f t="shared" si="0"/>
        <v>1.4317174672926788E-9</v>
      </c>
      <c r="K33" s="2">
        <f t="shared" si="0"/>
        <v>1.1922430805846051E-7</v>
      </c>
      <c r="L33" s="2">
        <f t="shared" si="0"/>
        <v>4.426997625778582E-6</v>
      </c>
      <c r="M33" s="2">
        <f t="shared" si="0"/>
        <v>2.913048328044225E-7</v>
      </c>
      <c r="N33" s="2">
        <f t="shared" si="0"/>
        <v>0.12694568439639051</v>
      </c>
      <c r="O33" s="2">
        <f t="shared" si="0"/>
        <v>3.191114246589251E-5</v>
      </c>
      <c r="P33" s="2">
        <f t="shared" si="0"/>
        <v>2.1618565693347152E-4</v>
      </c>
      <c r="Q33" s="2">
        <f t="shared" si="0"/>
        <v>0.16431323766599781</v>
      </c>
      <c r="R33" s="2">
        <f t="shared" si="0"/>
        <v>2.2304370416488563E-4</v>
      </c>
      <c r="S33" s="2">
        <f t="shared" si="0"/>
        <v>0</v>
      </c>
      <c r="T33" s="2">
        <f t="shared" si="0"/>
        <v>0</v>
      </c>
      <c r="U33" s="2">
        <f t="shared" si="0"/>
        <v>0</v>
      </c>
      <c r="V33" s="2">
        <f t="shared" si="0"/>
        <v>1.9381124447173801E-6</v>
      </c>
      <c r="W33" s="2">
        <f t="shared" si="0"/>
        <v>2.2555273769607495E-5</v>
      </c>
      <c r="X33" s="2">
        <f t="shared" si="0"/>
        <v>0</v>
      </c>
      <c r="Y33" s="2">
        <f t="shared" si="0"/>
        <v>0.16299618293097276</v>
      </c>
      <c r="Z33" s="2">
        <f t="shared" si="0"/>
        <v>5.0783185711419501E-2</v>
      </c>
      <c r="AA33" s="2">
        <f t="shared" si="0"/>
        <v>8.2963784830648261E-3</v>
      </c>
      <c r="AB33" s="2">
        <f t="shared" si="0"/>
        <v>0.10919211417415234</v>
      </c>
      <c r="AC33" s="2">
        <f t="shared" si="0"/>
        <v>0.22909147405024702</v>
      </c>
      <c r="AD33" s="2">
        <f t="shared" si="2"/>
        <v>1</v>
      </c>
    </row>
    <row r="34" spans="1:30" s="6" customFormat="1">
      <c r="A34" s="6">
        <v>2060</v>
      </c>
      <c r="B34" s="7">
        <f t="shared" si="1"/>
        <v>0</v>
      </c>
      <c r="C34" s="7">
        <f t="shared" si="0"/>
        <v>4.8137648362348174E-3</v>
      </c>
      <c r="D34" s="7">
        <f t="shared" si="0"/>
        <v>0</v>
      </c>
      <c r="E34" s="7">
        <f t="shared" si="0"/>
        <v>0.19243260914086588</v>
      </c>
      <c r="F34" s="7">
        <f t="shared" si="0"/>
        <v>0</v>
      </c>
      <c r="G34" s="7">
        <f t="shared" si="0"/>
        <v>0</v>
      </c>
      <c r="H34" s="7">
        <f t="shared" si="0"/>
        <v>0</v>
      </c>
      <c r="I34" s="7">
        <f t="shared" si="0"/>
        <v>0</v>
      </c>
      <c r="J34" s="7">
        <f t="shared" si="0"/>
        <v>0</v>
      </c>
      <c r="K34" s="7">
        <f t="shared" si="0"/>
        <v>0</v>
      </c>
      <c r="L34" s="7">
        <f t="shared" si="0"/>
        <v>0</v>
      </c>
      <c r="M34" s="7">
        <f t="shared" si="0"/>
        <v>1.8452774766817879E-9</v>
      </c>
      <c r="N34" s="7">
        <f t="shared" si="0"/>
        <v>7.8838071388689007E-2</v>
      </c>
      <c r="O34" s="7">
        <f t="shared" si="0"/>
        <v>0</v>
      </c>
      <c r="P34" s="7">
        <f t="shared" si="0"/>
        <v>1.6455352926200749E-4</v>
      </c>
      <c r="Q34" s="7">
        <f t="shared" si="0"/>
        <v>0.10582546287262745</v>
      </c>
      <c r="R34" s="7">
        <f t="shared" si="0"/>
        <v>0</v>
      </c>
      <c r="S34" s="7">
        <f t="shared" si="0"/>
        <v>0</v>
      </c>
      <c r="T34" s="7">
        <f t="shared" si="0"/>
        <v>0</v>
      </c>
      <c r="U34" s="7">
        <f t="shared" si="0"/>
        <v>0</v>
      </c>
      <c r="V34" s="7">
        <f t="shared" si="0"/>
        <v>2.0223078649281089E-8</v>
      </c>
      <c r="W34" s="7">
        <f t="shared" si="0"/>
        <v>0</v>
      </c>
      <c r="X34" s="7">
        <f t="shared" si="0"/>
        <v>0</v>
      </c>
      <c r="Y34" s="7">
        <f t="shared" si="0"/>
        <v>0.20846683638079874</v>
      </c>
      <c r="Z34" s="7">
        <f t="shared" si="0"/>
        <v>3.86366714091732E-2</v>
      </c>
      <c r="AA34" s="7">
        <f t="shared" si="0"/>
        <v>2.1267050237502031E-2</v>
      </c>
      <c r="AB34" s="7">
        <f t="shared" si="0"/>
        <v>9.9370305825090544E-2</v>
      </c>
      <c r="AC34" s="7">
        <f t="shared" si="0"/>
        <v>0.25018465231140002</v>
      </c>
      <c r="AD34" s="7">
        <f t="shared" si="2"/>
        <v>0.99999999999999978</v>
      </c>
    </row>
    <row r="35" spans="1:30" s="6" customFormat="1">
      <c r="A35" s="6">
        <v>2070</v>
      </c>
      <c r="B35" s="7">
        <f t="shared" si="1"/>
        <v>0</v>
      </c>
      <c r="C35" s="7">
        <f t="shared" ref="C35:AC38" si="4">C18/SUM($B18:$AC18)</f>
        <v>1.3623825016321226E-3</v>
      </c>
      <c r="D35" s="7">
        <f t="shared" si="4"/>
        <v>0</v>
      </c>
      <c r="E35" s="7">
        <f t="shared" si="4"/>
        <v>0.15679899314041243</v>
      </c>
      <c r="F35" s="7">
        <f t="shared" si="4"/>
        <v>0</v>
      </c>
      <c r="G35" s="7">
        <f t="shared" si="4"/>
        <v>0</v>
      </c>
      <c r="H35" s="7">
        <f t="shared" si="4"/>
        <v>0</v>
      </c>
      <c r="I35" s="7">
        <f t="shared" si="4"/>
        <v>0</v>
      </c>
      <c r="J35" s="7">
        <f t="shared" si="4"/>
        <v>0</v>
      </c>
      <c r="K35" s="7">
        <f t="shared" si="4"/>
        <v>0</v>
      </c>
      <c r="L35" s="7">
        <f t="shared" si="4"/>
        <v>0</v>
      </c>
      <c r="M35" s="7">
        <f t="shared" si="4"/>
        <v>0</v>
      </c>
      <c r="N35" s="7">
        <f t="shared" si="4"/>
        <v>2.2243209958303957E-2</v>
      </c>
      <c r="O35" s="7">
        <f t="shared" si="4"/>
        <v>0</v>
      </c>
      <c r="P35" s="7">
        <f t="shared" si="4"/>
        <v>7.6290707925962293E-5</v>
      </c>
      <c r="Q35" s="7">
        <f t="shared" si="4"/>
        <v>3.0017990154405622E-2</v>
      </c>
      <c r="R35" s="7">
        <f t="shared" si="4"/>
        <v>0</v>
      </c>
      <c r="S35" s="7">
        <f t="shared" si="4"/>
        <v>0</v>
      </c>
      <c r="T35" s="7">
        <f t="shared" si="4"/>
        <v>0</v>
      </c>
      <c r="U35" s="7">
        <f t="shared" si="4"/>
        <v>0</v>
      </c>
      <c r="V35" s="7">
        <f t="shared" si="4"/>
        <v>3.180556196905091E-10</v>
      </c>
      <c r="W35" s="7">
        <f t="shared" si="4"/>
        <v>0</v>
      </c>
      <c r="X35" s="7">
        <f t="shared" si="4"/>
        <v>0</v>
      </c>
      <c r="Y35" s="7">
        <f t="shared" si="4"/>
        <v>0.2457425382177636</v>
      </c>
      <c r="Z35" s="7">
        <f t="shared" si="4"/>
        <v>3.2588600770093464E-2</v>
      </c>
      <c r="AA35" s="7">
        <f t="shared" si="4"/>
        <v>4.6592942807738666E-2</v>
      </c>
      <c r="AB35" s="7">
        <f t="shared" si="4"/>
        <v>0.11810158927369543</v>
      </c>
      <c r="AC35" s="7">
        <f t="shared" si="4"/>
        <v>0.3464754621499731</v>
      </c>
      <c r="AD35" s="7">
        <f t="shared" si="2"/>
        <v>1</v>
      </c>
    </row>
    <row r="36" spans="1:30" s="6" customFormat="1">
      <c r="A36" s="6">
        <v>2080</v>
      </c>
      <c r="B36" s="7">
        <f t="shared" si="1"/>
        <v>0</v>
      </c>
      <c r="C36" s="7">
        <f t="shared" si="4"/>
        <v>3.5800144299632402E-4</v>
      </c>
      <c r="D36" s="7">
        <f t="shared" si="4"/>
        <v>0</v>
      </c>
      <c r="E36" s="7">
        <f t="shared" si="4"/>
        <v>9.6504512232107584E-2</v>
      </c>
      <c r="F36" s="7">
        <f t="shared" si="4"/>
        <v>0</v>
      </c>
      <c r="G36" s="7">
        <f t="shared" si="4"/>
        <v>0</v>
      </c>
      <c r="H36" s="7">
        <f t="shared" si="4"/>
        <v>0</v>
      </c>
      <c r="I36" s="7">
        <f t="shared" si="4"/>
        <v>0</v>
      </c>
      <c r="J36" s="7">
        <f t="shared" si="4"/>
        <v>0</v>
      </c>
      <c r="K36" s="7">
        <f t="shared" si="4"/>
        <v>0</v>
      </c>
      <c r="L36" s="7">
        <f t="shared" si="4"/>
        <v>0</v>
      </c>
      <c r="M36" s="7">
        <f t="shared" si="4"/>
        <v>0</v>
      </c>
      <c r="N36" s="7">
        <f t="shared" si="4"/>
        <v>5.3983665193503326E-3</v>
      </c>
      <c r="O36" s="7">
        <f t="shared" si="4"/>
        <v>0</v>
      </c>
      <c r="P36" s="7">
        <f t="shared" si="4"/>
        <v>2.3182268438189499E-5</v>
      </c>
      <c r="Q36" s="7">
        <f t="shared" si="4"/>
        <v>6.1351853174434149E-3</v>
      </c>
      <c r="R36" s="7">
        <f t="shared" si="4"/>
        <v>0</v>
      </c>
      <c r="S36" s="7">
        <f t="shared" si="4"/>
        <v>0</v>
      </c>
      <c r="T36" s="7">
        <f t="shared" si="4"/>
        <v>0</v>
      </c>
      <c r="U36" s="7">
        <f t="shared" si="4"/>
        <v>0</v>
      </c>
      <c r="V36" s="7">
        <f t="shared" si="4"/>
        <v>3.4405504767316277E-13</v>
      </c>
      <c r="W36" s="7">
        <f t="shared" si="4"/>
        <v>0</v>
      </c>
      <c r="X36" s="7">
        <f t="shared" si="4"/>
        <v>0</v>
      </c>
      <c r="Y36" s="7">
        <f t="shared" si="4"/>
        <v>0.32049629551467762</v>
      </c>
      <c r="Z36" s="7">
        <f t="shared" si="4"/>
        <v>1.7233779922588923E-2</v>
      </c>
      <c r="AA36" s="7">
        <f t="shared" si="4"/>
        <v>7.2769488027392693E-2</v>
      </c>
      <c r="AB36" s="7">
        <f t="shared" si="4"/>
        <v>0.12962279537656682</v>
      </c>
      <c r="AC36" s="7">
        <f t="shared" si="4"/>
        <v>0.35145839337809409</v>
      </c>
      <c r="AD36" s="7">
        <f t="shared" si="2"/>
        <v>1</v>
      </c>
    </row>
    <row r="37" spans="1:30" s="6" customFormat="1">
      <c r="A37" s="6">
        <v>2090</v>
      </c>
      <c r="B37" s="7">
        <f t="shared" si="1"/>
        <v>0</v>
      </c>
      <c r="C37" s="7">
        <f t="shared" si="4"/>
        <v>1.8776690324266625E-4</v>
      </c>
      <c r="D37" s="7">
        <f t="shared" si="4"/>
        <v>0</v>
      </c>
      <c r="E37" s="7">
        <f t="shared" si="4"/>
        <v>8.4821892079948946E-2</v>
      </c>
      <c r="F37" s="7">
        <f t="shared" si="4"/>
        <v>0</v>
      </c>
      <c r="G37" s="7">
        <f t="shared" si="4"/>
        <v>0</v>
      </c>
      <c r="H37" s="7">
        <f t="shared" si="4"/>
        <v>0</v>
      </c>
      <c r="I37" s="7">
        <f t="shared" si="4"/>
        <v>0</v>
      </c>
      <c r="J37" s="7">
        <f t="shared" si="4"/>
        <v>0</v>
      </c>
      <c r="K37" s="7">
        <f t="shared" si="4"/>
        <v>0</v>
      </c>
      <c r="L37" s="7">
        <f t="shared" si="4"/>
        <v>0</v>
      </c>
      <c r="M37" s="7">
        <f t="shared" si="4"/>
        <v>0</v>
      </c>
      <c r="N37" s="7">
        <f t="shared" si="4"/>
        <v>7.2766436815502999E-3</v>
      </c>
      <c r="O37" s="7">
        <f t="shared" si="4"/>
        <v>0</v>
      </c>
      <c r="P37" s="7">
        <f t="shared" si="4"/>
        <v>1.6242272636831061E-5</v>
      </c>
      <c r="Q37" s="7">
        <f t="shared" si="4"/>
        <v>2.7044611635244208E-2</v>
      </c>
      <c r="R37" s="7">
        <f t="shared" si="4"/>
        <v>0</v>
      </c>
      <c r="S37" s="7">
        <f t="shared" si="4"/>
        <v>0</v>
      </c>
      <c r="T37" s="7">
        <f t="shared" si="4"/>
        <v>0</v>
      </c>
      <c r="U37" s="7">
        <f t="shared" si="4"/>
        <v>0</v>
      </c>
      <c r="V37" s="7">
        <f t="shared" si="4"/>
        <v>0</v>
      </c>
      <c r="W37" s="7">
        <f t="shared" si="4"/>
        <v>0</v>
      </c>
      <c r="X37" s="7">
        <f t="shared" si="4"/>
        <v>0</v>
      </c>
      <c r="Y37" s="7">
        <f t="shared" si="4"/>
        <v>0.32115638905886257</v>
      </c>
      <c r="Z37" s="7">
        <f t="shared" si="4"/>
        <v>2.4039381541320178E-2</v>
      </c>
      <c r="AA37" s="7">
        <f t="shared" si="4"/>
        <v>8.0766073996036705E-2</v>
      </c>
      <c r="AB37" s="7">
        <f t="shared" si="4"/>
        <v>0.15691316876420777</v>
      </c>
      <c r="AC37" s="7">
        <f t="shared" si="4"/>
        <v>0.2977778300669498</v>
      </c>
      <c r="AD37" s="7">
        <f t="shared" si="2"/>
        <v>1</v>
      </c>
    </row>
    <row r="38" spans="1:30" s="6" customFormat="1">
      <c r="A38" s="6">
        <v>2100</v>
      </c>
      <c r="B38" s="7">
        <f t="shared" si="1"/>
        <v>0</v>
      </c>
      <c r="C38" s="7">
        <f t="shared" si="4"/>
        <v>1.1706893059184948E-4</v>
      </c>
      <c r="D38" s="7">
        <f t="shared" si="4"/>
        <v>0</v>
      </c>
      <c r="E38" s="7">
        <f t="shared" si="4"/>
        <v>0.10724994511099971</v>
      </c>
      <c r="F38" s="7">
        <f t="shared" si="4"/>
        <v>0</v>
      </c>
      <c r="G38" s="7">
        <f t="shared" si="4"/>
        <v>0</v>
      </c>
      <c r="H38" s="7">
        <f t="shared" si="4"/>
        <v>0</v>
      </c>
      <c r="I38" s="7">
        <f t="shared" si="4"/>
        <v>0</v>
      </c>
      <c r="J38" s="7">
        <f t="shared" si="4"/>
        <v>0</v>
      </c>
      <c r="K38" s="7">
        <f t="shared" si="4"/>
        <v>0</v>
      </c>
      <c r="L38" s="7">
        <f t="shared" si="4"/>
        <v>0</v>
      </c>
      <c r="M38" s="7">
        <f t="shared" si="4"/>
        <v>0</v>
      </c>
      <c r="N38" s="7">
        <f t="shared" si="4"/>
        <v>1.4431784965741847E-2</v>
      </c>
      <c r="O38" s="7">
        <f t="shared" si="4"/>
        <v>0</v>
      </c>
      <c r="P38" s="7">
        <f t="shared" si="4"/>
        <v>2.7657649427467776E-5</v>
      </c>
      <c r="Q38" s="7">
        <f t="shared" si="4"/>
        <v>3.4241032860560419E-2</v>
      </c>
      <c r="R38" s="7">
        <f t="shared" si="4"/>
        <v>0</v>
      </c>
      <c r="S38" s="7">
        <f t="shared" si="4"/>
        <v>0</v>
      </c>
      <c r="T38" s="7">
        <f t="shared" si="4"/>
        <v>0</v>
      </c>
      <c r="U38" s="7">
        <f t="shared" si="4"/>
        <v>0</v>
      </c>
      <c r="V38" s="7">
        <f t="shared" si="4"/>
        <v>0</v>
      </c>
      <c r="W38" s="7">
        <f t="shared" si="4"/>
        <v>0</v>
      </c>
      <c r="X38" s="7">
        <f t="shared" si="4"/>
        <v>0</v>
      </c>
      <c r="Y38" s="7">
        <f t="shared" si="4"/>
        <v>0.35213049816145536</v>
      </c>
      <c r="Z38" s="7">
        <f t="shared" si="4"/>
        <v>2.5922323279553093E-2</v>
      </c>
      <c r="AA38" s="8">
        <f>AA21/SUM($B21:$AC21)</f>
        <v>0.10729243326162388</v>
      </c>
      <c r="AB38" s="7">
        <f t="shared" si="4"/>
        <v>0.12256637977171937</v>
      </c>
      <c r="AC38" s="7">
        <f t="shared" si="4"/>
        <v>0.23602087600832705</v>
      </c>
      <c r="AD38" s="7">
        <f t="shared" si="2"/>
        <v>1</v>
      </c>
    </row>
    <row r="41" spans="1:30">
      <c r="B41" s="3" t="s">
        <v>32</v>
      </c>
      <c r="C41" t="s">
        <v>33</v>
      </c>
      <c r="D41" t="s">
        <v>36</v>
      </c>
      <c r="E41" t="s">
        <v>38</v>
      </c>
      <c r="F41" t="s">
        <v>37</v>
      </c>
      <c r="G41" t="s">
        <v>35</v>
      </c>
      <c r="H41" t="s">
        <v>34</v>
      </c>
    </row>
    <row r="42" spans="1:30">
      <c r="A42" t="s">
        <v>39</v>
      </c>
      <c r="B42" s="5">
        <f>SUM(B33:F33)</f>
        <v>0.14788126973949264</v>
      </c>
      <c r="C42" s="4">
        <f>SUM(G33:J33)</f>
        <v>1.4317174672926788E-9</v>
      </c>
      <c r="D42" s="4">
        <f>SUM(K33:O33)</f>
        <v>0.12698243306562304</v>
      </c>
      <c r="E42" s="4">
        <f>Q33</f>
        <v>0.16431323766599781</v>
      </c>
      <c r="F42" s="4">
        <f>R33</f>
        <v>2.2304370416488563E-4</v>
      </c>
      <c r="G42" s="4">
        <f>SUM(X33:Z33)</f>
        <v>0.21377936864239228</v>
      </c>
      <c r="H42" s="4">
        <f>AB33+AB34</f>
        <v>0.20856241999924288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B3D69-8F0E-C241-AC40-AD5FEC88909B}">
  <dimension ref="A1:H36"/>
  <sheetViews>
    <sheetView workbookViewId="0">
      <selection activeCell="C5" sqref="C5"/>
    </sheetView>
  </sheetViews>
  <sheetFormatPr baseColWidth="10" defaultRowHeight="16"/>
  <cols>
    <col min="2" max="2" width="23.6640625" customWidth="1"/>
    <col min="3" max="3" width="16.83203125" customWidth="1"/>
    <col min="7" max="7" width="21.6640625" customWidth="1"/>
    <col min="8" max="8" width="12.83203125" bestFit="1" customWidth="1"/>
  </cols>
  <sheetData>
    <row r="1" spans="1:8">
      <c r="A1" t="s">
        <v>40</v>
      </c>
      <c r="B1" t="s">
        <v>41</v>
      </c>
      <c r="C1" t="s">
        <v>42</v>
      </c>
      <c r="D1" t="s">
        <v>43</v>
      </c>
      <c r="G1" t="s">
        <v>44</v>
      </c>
    </row>
    <row r="2" spans="1:8">
      <c r="B2" s="3" t="s">
        <v>27</v>
      </c>
      <c r="C2" s="3" t="s">
        <v>27</v>
      </c>
      <c r="E2" s="9" t="s">
        <v>45</v>
      </c>
      <c r="G2" s="10" t="s">
        <v>46</v>
      </c>
      <c r="H2" s="9" t="s">
        <v>47</v>
      </c>
    </row>
    <row r="3" spans="1:8">
      <c r="A3">
        <v>2005</v>
      </c>
      <c r="B3">
        <v>3.6413099999999999E-7</v>
      </c>
      <c r="C3">
        <v>3.6413099999999999E-7</v>
      </c>
      <c r="E3">
        <f>C3-B3</f>
        <v>0</v>
      </c>
      <c r="G3" s="10">
        <v>0</v>
      </c>
      <c r="H3">
        <f>G3-B3</f>
        <v>-3.6413099999999999E-7</v>
      </c>
    </row>
    <row r="4" spans="1:8">
      <c r="A4">
        <v>2010</v>
      </c>
      <c r="B4">
        <v>1.2258199999999999E-6</v>
      </c>
      <c r="C4">
        <v>1.2258199999999999E-6</v>
      </c>
      <c r="E4">
        <f t="shared" ref="E4:E17" si="0">C4-B4</f>
        <v>0</v>
      </c>
      <c r="G4" s="10">
        <v>0</v>
      </c>
      <c r="H4">
        <f t="shared" ref="H4:H17" si="1">G4-B4</f>
        <v>-1.2258199999999999E-6</v>
      </c>
    </row>
    <row r="5" spans="1:8">
      <c r="A5">
        <v>2015</v>
      </c>
      <c r="B5">
        <v>5.2973599999999997E-5</v>
      </c>
      <c r="C5">
        <v>5.2973599999999997E-5</v>
      </c>
      <c r="E5">
        <f t="shared" si="0"/>
        <v>0</v>
      </c>
      <c r="G5" s="10">
        <v>0</v>
      </c>
      <c r="H5">
        <f t="shared" si="1"/>
        <v>-5.2973599999999997E-5</v>
      </c>
    </row>
    <row r="6" spans="1:8">
      <c r="A6">
        <v>2020</v>
      </c>
      <c r="B6">
        <v>7.3287099999999998E-5</v>
      </c>
      <c r="C6">
        <v>7.3287099999999998E-5</v>
      </c>
      <c r="E6">
        <f t="shared" si="0"/>
        <v>0</v>
      </c>
      <c r="G6" s="10">
        <v>0</v>
      </c>
      <c r="H6">
        <f t="shared" si="1"/>
        <v>-7.3287099999999998E-5</v>
      </c>
    </row>
    <row r="7" spans="1:8">
      <c r="A7">
        <v>2025</v>
      </c>
      <c r="B7">
        <v>2.4703600000000001E-4</v>
      </c>
      <c r="C7">
        <v>2.4659900000000002E-4</v>
      </c>
      <c r="E7">
        <f t="shared" si="0"/>
        <v>-4.3699999999999599E-7</v>
      </c>
      <c r="G7" s="11">
        <v>4.9999999999999998E-7</v>
      </c>
      <c r="H7">
        <f t="shared" si="1"/>
        <v>-2.46536E-4</v>
      </c>
    </row>
    <row r="8" spans="1:8">
      <c r="A8">
        <v>2030</v>
      </c>
      <c r="B8">
        <v>3.7806299999999999E-4</v>
      </c>
      <c r="C8">
        <v>3.9986600000000002E-4</v>
      </c>
      <c r="E8">
        <f t="shared" si="0"/>
        <v>2.1803000000000035E-5</v>
      </c>
      <c r="G8" s="10">
        <v>1.3398E-2</v>
      </c>
      <c r="H8">
        <f t="shared" si="1"/>
        <v>1.3019937000000001E-2</v>
      </c>
    </row>
    <row r="9" spans="1:8">
      <c r="A9">
        <v>2035</v>
      </c>
      <c r="B9">
        <v>7.7680499999999999E-4</v>
      </c>
      <c r="C9">
        <v>1.3861780000000001E-3</v>
      </c>
      <c r="E9">
        <f t="shared" si="0"/>
        <v>6.0937300000000008E-4</v>
      </c>
      <c r="G9" s="10">
        <v>3.0176000000000001E-2</v>
      </c>
      <c r="H9">
        <f t="shared" si="1"/>
        <v>2.9399195000000003E-2</v>
      </c>
    </row>
    <row r="10" spans="1:8">
      <c r="A10">
        <v>2040</v>
      </c>
      <c r="B10">
        <v>1.9003329999999999E-3</v>
      </c>
      <c r="C10">
        <v>5.2818309999999999E-3</v>
      </c>
      <c r="E10">
        <f t="shared" si="0"/>
        <v>3.3814980000000001E-3</v>
      </c>
      <c r="G10" s="10">
        <v>3.9188000000000001E-2</v>
      </c>
      <c r="H10">
        <f t="shared" si="1"/>
        <v>3.7287667000000004E-2</v>
      </c>
    </row>
    <row r="11" spans="1:8">
      <c r="A11">
        <v>2045</v>
      </c>
      <c r="B11">
        <v>1.022469E-2</v>
      </c>
      <c r="C11">
        <v>1.9650279999999999E-2</v>
      </c>
      <c r="E11">
        <f t="shared" si="0"/>
        <v>9.4255899999999993E-3</v>
      </c>
      <c r="G11" s="10">
        <v>4.2182999999999998E-2</v>
      </c>
      <c r="H11">
        <f t="shared" si="1"/>
        <v>3.1958309999999997E-2</v>
      </c>
    </row>
    <row r="12" spans="1:8">
      <c r="A12">
        <v>2050</v>
      </c>
      <c r="B12">
        <v>5.7956239999999999E-2</v>
      </c>
      <c r="C12">
        <v>2.4862349999999998E-2</v>
      </c>
      <c r="E12">
        <f t="shared" si="0"/>
        <v>-3.3093890000000001E-2</v>
      </c>
      <c r="G12" s="10">
        <v>4.1332000000000001E-2</v>
      </c>
      <c r="H12">
        <f t="shared" si="1"/>
        <v>-1.6624239999999998E-2</v>
      </c>
    </row>
    <row r="13" spans="1:8">
      <c r="A13">
        <v>2060</v>
      </c>
      <c r="B13">
        <v>0.34124940799999998</v>
      </c>
      <c r="C13">
        <v>7.4143191999999997E-2</v>
      </c>
      <c r="E13">
        <f t="shared" si="0"/>
        <v>-0.26710621599999995</v>
      </c>
      <c r="G13" s="10">
        <v>3.8279000000000001E-2</v>
      </c>
      <c r="H13">
        <f t="shared" si="1"/>
        <v>-0.30297040799999997</v>
      </c>
    </row>
    <row r="14" spans="1:8">
      <c r="A14">
        <v>2070</v>
      </c>
      <c r="B14">
        <v>0.50232739199999998</v>
      </c>
      <c r="C14">
        <v>0.177014896</v>
      </c>
      <c r="E14">
        <f t="shared" si="0"/>
        <v>-0.32531249600000001</v>
      </c>
      <c r="G14" s="10">
        <v>3.6574000000000002E-2</v>
      </c>
      <c r="H14">
        <f t="shared" si="1"/>
        <v>-0.46575339199999999</v>
      </c>
    </row>
    <row r="15" spans="1:8">
      <c r="A15">
        <v>2080</v>
      </c>
      <c r="B15">
        <v>0.55895967999999996</v>
      </c>
      <c r="C15">
        <v>0.29021920000000001</v>
      </c>
      <c r="E15">
        <f t="shared" si="0"/>
        <v>-0.26874047999999995</v>
      </c>
      <c r="G15" s="10">
        <v>4.4988E-2</v>
      </c>
      <c r="H15">
        <f t="shared" si="1"/>
        <v>-0.51397167999999993</v>
      </c>
    </row>
    <row r="16" spans="1:8">
      <c r="A16">
        <v>2090</v>
      </c>
      <c r="B16">
        <v>0.38147340800000001</v>
      </c>
      <c r="C16">
        <v>0.317125088</v>
      </c>
      <c r="E16">
        <f t="shared" si="0"/>
        <v>-6.4348320000000014E-2</v>
      </c>
      <c r="G16" s="10">
        <v>4.3313999999999998E-2</v>
      </c>
      <c r="H16">
        <f t="shared" si="1"/>
        <v>-0.33815940799999999</v>
      </c>
    </row>
    <row r="17" spans="1:8">
      <c r="A17">
        <v>2100</v>
      </c>
      <c r="B17">
        <v>0.38145331199999999</v>
      </c>
      <c r="C17">
        <v>0.40735020799999999</v>
      </c>
      <c r="E17">
        <f t="shared" si="0"/>
        <v>2.5896896000000003E-2</v>
      </c>
      <c r="G17" s="10">
        <v>3.4530999999999999E-2</v>
      </c>
      <c r="H17">
        <f t="shared" si="1"/>
        <v>-0.34692231200000001</v>
      </c>
    </row>
    <row r="20" spans="1:8">
      <c r="A20" t="s">
        <v>48</v>
      </c>
      <c r="B20" t="s">
        <v>41</v>
      </c>
      <c r="C20" t="s">
        <v>42</v>
      </c>
      <c r="D20" t="s">
        <v>43</v>
      </c>
      <c r="E20" t="s">
        <v>45</v>
      </c>
    </row>
    <row r="21" spans="1:8">
      <c r="B21" t="s">
        <v>27</v>
      </c>
      <c r="C21" t="s">
        <v>27</v>
      </c>
    </row>
    <row r="22" spans="1:8">
      <c r="B22">
        <v>9.7653200000000001E-4</v>
      </c>
      <c r="C22">
        <v>9.7653200000000001E-4</v>
      </c>
      <c r="E22">
        <f>C22-B22</f>
        <v>0</v>
      </c>
    </row>
    <row r="23" spans="1:8">
      <c r="B23">
        <v>2.0113100000000001E-3</v>
      </c>
      <c r="C23">
        <v>2.0113100000000001E-3</v>
      </c>
      <c r="E23">
        <f t="shared" ref="E23:E36" si="2">C23-B23</f>
        <v>0</v>
      </c>
    </row>
    <row r="24" spans="1:8">
      <c r="B24">
        <v>6.3758809999999999E-3</v>
      </c>
      <c r="C24">
        <v>6.3758809999999999E-3</v>
      </c>
      <c r="E24">
        <f t="shared" si="2"/>
        <v>0</v>
      </c>
    </row>
    <row r="25" spans="1:8">
      <c r="B25">
        <v>2.1029630000000001E-2</v>
      </c>
      <c r="C25">
        <v>2.1029630000000001E-2</v>
      </c>
      <c r="E25">
        <f t="shared" si="2"/>
        <v>0</v>
      </c>
    </row>
    <row r="26" spans="1:8">
      <c r="B26">
        <v>5.3899040000000002E-2</v>
      </c>
      <c r="C26">
        <v>5.3899959999999997E-2</v>
      </c>
      <c r="E26">
        <f t="shared" si="2"/>
        <v>9.199999999945363E-7</v>
      </c>
    </row>
    <row r="27" spans="1:8">
      <c r="B27">
        <v>0.12030059999999999</v>
      </c>
      <c r="C27">
        <v>0.133711104</v>
      </c>
      <c r="E27">
        <f t="shared" si="2"/>
        <v>1.3410504000000004E-2</v>
      </c>
    </row>
    <row r="28" spans="1:8">
      <c r="B28">
        <v>0.21154110400000001</v>
      </c>
      <c r="C28">
        <v>0.78099251199999997</v>
      </c>
      <c r="E28">
        <f t="shared" si="2"/>
        <v>0.56945140799999994</v>
      </c>
    </row>
    <row r="29" spans="1:8">
      <c r="B29">
        <v>0.41167609599999999</v>
      </c>
      <c r="C29">
        <v>4.7027118080000001</v>
      </c>
      <c r="E29">
        <f t="shared" si="2"/>
        <v>4.2910357120000002</v>
      </c>
    </row>
    <row r="30" spans="1:8">
      <c r="B30">
        <v>0.67214841599999997</v>
      </c>
      <c r="C30">
        <v>6.9775672320000002</v>
      </c>
      <c r="E30">
        <f t="shared" si="2"/>
        <v>6.3054188160000004</v>
      </c>
    </row>
    <row r="31" spans="1:8">
      <c r="B31">
        <v>1.1830050560000001</v>
      </c>
      <c r="C31">
        <v>7.4652559360000001</v>
      </c>
      <c r="E31">
        <f t="shared" si="2"/>
        <v>6.2822508800000003</v>
      </c>
    </row>
    <row r="32" spans="1:8">
      <c r="B32">
        <v>7.350670848</v>
      </c>
      <c r="C32">
        <v>7.3972439039999998</v>
      </c>
      <c r="E32">
        <f t="shared" si="2"/>
        <v>4.6573055999999724E-2</v>
      </c>
    </row>
    <row r="33" spans="2:5">
      <c r="B33">
        <v>10.426880000000001</v>
      </c>
      <c r="C33">
        <v>8.0890050559999995</v>
      </c>
      <c r="E33">
        <f t="shared" si="2"/>
        <v>-2.3378749440000011</v>
      </c>
    </row>
    <row r="34" spans="2:5">
      <c r="B34">
        <v>9.8066657280000005</v>
      </c>
      <c r="C34">
        <v>7.3283778560000004</v>
      </c>
      <c r="E34">
        <f t="shared" si="2"/>
        <v>-2.4782878720000001</v>
      </c>
    </row>
    <row r="35" spans="2:5">
      <c r="B35">
        <v>9.0045317120000004</v>
      </c>
      <c r="C35">
        <v>6.5406310400000001</v>
      </c>
      <c r="E35">
        <f t="shared" si="2"/>
        <v>-2.4639006720000003</v>
      </c>
    </row>
    <row r="36" spans="2:5">
      <c r="B36">
        <v>8.6137937919999992</v>
      </c>
      <c r="C36">
        <v>6.171969024</v>
      </c>
      <c r="E36">
        <f t="shared" si="2"/>
        <v>-2.4418247679999991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33A65-7155-B545-8179-A62E32179304}">
  <dimension ref="A1"/>
  <sheetViews>
    <sheetView tabSelected="1" workbookViewId="0"/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ssp1</vt:lpstr>
      <vt:lpstr>Sheet1</vt:lpstr>
      <vt:lpstr>ssp5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Susie Wu</dc:creator>
  <cp:lastModifiedBy>Susie Wu</cp:lastModifiedBy>
  <dcterms:created xsi:type="dcterms:W3CDTF">2025-11-25T01:10:47Z</dcterms:created>
  <dcterms:modified xsi:type="dcterms:W3CDTF">2025-11-25T01:37:44Z</dcterms:modified>
</cp:coreProperties>
</file>